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8516\Desktop\"/>
    </mc:Choice>
  </mc:AlternateContent>
  <xr:revisionPtr revIDLastSave="0" documentId="13_ncr:1_{A9380F33-2FEF-4CFE-9E94-E9B35A031551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Template" sheetId="3" r:id="rId1"/>
    <sheet name="Demo" sheetId="2" r:id="rId2"/>
    <sheet name="Demo2" sheetId="1" r:id="rId3"/>
  </sheets>
  <functionGroups builtInGroupCount="19"/>
  <definedNames>
    <definedName name="solver_adj" localSheetId="1" hidden="1">Demo!$B$16:$B$19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Demo!$H$15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5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H2" i="2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2" i="3"/>
  <c r="L1550" i="3"/>
  <c r="L1549" i="3"/>
  <c r="L1548" i="3"/>
  <c r="L1547" i="3"/>
  <c r="L1546" i="3"/>
  <c r="L1545" i="3"/>
  <c r="L1544" i="3"/>
  <c r="L1543" i="3"/>
  <c r="L1542" i="3"/>
  <c r="L1541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7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2" i="3"/>
  <c r="E3" i="2"/>
  <c r="F3" i="2" s="1"/>
  <c r="G3" i="2" s="1"/>
  <c r="H3" i="2" s="1"/>
  <c r="E4" i="2"/>
  <c r="F4" i="2" s="1"/>
  <c r="G4" i="2" s="1"/>
  <c r="H4" i="2" s="1"/>
  <c r="E5" i="2"/>
  <c r="F5" i="2" s="1"/>
  <c r="G5" i="2" s="1"/>
  <c r="H5" i="2" s="1"/>
  <c r="E6" i="2"/>
  <c r="F6" i="2" s="1"/>
  <c r="G6" i="2" s="1"/>
  <c r="H6" i="2" s="1"/>
  <c r="E7" i="2"/>
  <c r="F7" i="2" s="1"/>
  <c r="G7" i="2" s="1"/>
  <c r="H7" i="2" s="1"/>
  <c r="E8" i="2"/>
  <c r="F8" i="2" s="1"/>
  <c r="G8" i="2" s="1"/>
  <c r="H8" i="2" s="1"/>
  <c r="E9" i="2"/>
  <c r="F9" i="2" s="1"/>
  <c r="G9" i="2" s="1"/>
  <c r="H9" i="2" s="1"/>
  <c r="E10" i="2"/>
  <c r="F10" i="2" s="1"/>
  <c r="G10" i="2" s="1"/>
  <c r="H10" i="2" s="1"/>
  <c r="E11" i="2"/>
  <c r="F11" i="2" s="1"/>
  <c r="G11" i="2" s="1"/>
  <c r="H11" i="2" s="1"/>
  <c r="E12" i="2"/>
  <c r="F12" i="2" s="1"/>
  <c r="G12" i="2" s="1"/>
  <c r="H12" i="2" s="1"/>
  <c r="E13" i="2"/>
  <c r="F13" i="2" s="1"/>
  <c r="G13" i="2" s="1"/>
  <c r="H13" i="2" s="1"/>
  <c r="E14" i="2"/>
  <c r="F14" i="2" s="1"/>
  <c r="G14" i="2" s="1"/>
  <c r="H14" i="2" s="1"/>
  <c r="E2" i="2"/>
  <c r="F2" i="2" s="1"/>
  <c r="G2" i="2" s="1"/>
  <c r="H15" i="2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2" i="1"/>
</calcChain>
</file>

<file path=xl/sharedStrings.xml><?xml version="1.0" encoding="utf-8"?>
<sst xmlns="http://schemas.openxmlformats.org/spreadsheetml/2006/main" count="44" uniqueCount="42">
  <si>
    <t>Score</t>
  </si>
  <si>
    <t>Prob Default</t>
  </si>
  <si>
    <t>=1/(1+EXP(-A2))</t>
  </si>
  <si>
    <t>Default Indicator</t>
    <phoneticPr fontId="1" type="noConversion"/>
  </si>
  <si>
    <t>GRE</t>
    <phoneticPr fontId="1" type="noConversion"/>
  </si>
  <si>
    <t>GPA</t>
    <phoneticPr fontId="1" type="noConversion"/>
  </si>
  <si>
    <t>RANK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</si>
  <si>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</si>
  <si>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</si>
  <si>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</si>
  <si>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</si>
  <si>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exp(Logit)</t>
  </si>
  <si>
    <t>exp(Logit)</t>
    <phoneticPr fontId="1" type="noConversion"/>
  </si>
  <si>
    <t>P(x)</t>
  </si>
  <si>
    <t>P(x)</t>
    <phoneticPr fontId="1" type="noConversion"/>
  </si>
  <si>
    <t>Likelihood</t>
    <phoneticPr fontId="1" type="noConversion"/>
  </si>
  <si>
    <t>Score</t>
    <phoneticPr fontId="1" type="noConversion"/>
  </si>
  <si>
    <t>Sum of Likelihood</t>
    <phoneticPr fontId="1" type="noConversion"/>
  </si>
  <si>
    <t>Var 1</t>
    <phoneticPr fontId="1" type="noConversion"/>
  </si>
  <si>
    <t>Var 2</t>
    <phoneticPr fontId="1" type="noConversion"/>
  </si>
  <si>
    <t>Var 3</t>
    <phoneticPr fontId="1" type="noConversion"/>
  </si>
  <si>
    <t>Var 4</t>
    <phoneticPr fontId="1" type="noConversion"/>
  </si>
  <si>
    <t>Var 5</t>
  </si>
  <si>
    <t>Var 6</t>
  </si>
  <si>
    <t>Var 7</t>
  </si>
  <si>
    <t>Var 8</t>
  </si>
  <si>
    <t>Var 9</t>
  </si>
  <si>
    <t>Var 10</t>
  </si>
  <si>
    <t>b0=</t>
    <phoneticPr fontId="1" type="noConversion"/>
  </si>
  <si>
    <t>b1=</t>
    <phoneticPr fontId="1" type="noConversion"/>
  </si>
  <si>
    <t>b2=</t>
    <phoneticPr fontId="1" type="noConversion"/>
  </si>
  <si>
    <t>b3=</t>
    <phoneticPr fontId="1" type="noConversion"/>
  </si>
  <si>
    <t>b4=</t>
    <phoneticPr fontId="1" type="noConversion"/>
  </si>
  <si>
    <t>b5=</t>
    <phoneticPr fontId="1" type="noConversion"/>
  </si>
  <si>
    <t>b6=</t>
    <phoneticPr fontId="1" type="noConversion"/>
  </si>
  <si>
    <t>b7=</t>
    <phoneticPr fontId="1" type="noConversion"/>
  </si>
  <si>
    <t>b8=</t>
    <phoneticPr fontId="1" type="noConversion"/>
  </si>
  <si>
    <t>b9=</t>
    <phoneticPr fontId="1" type="noConversion"/>
  </si>
  <si>
    <t>b10=</t>
    <phoneticPr fontId="1" type="noConversion"/>
  </si>
  <si>
    <t>Log-Likelihood</t>
    <phoneticPr fontId="1" type="noConversion"/>
  </si>
  <si>
    <t>target</t>
    <phoneticPr fontId="1" type="noConversion"/>
  </si>
  <si>
    <t>min(sum(log-likelihood))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</si>
</sst>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5" borderId="0" xfId="0" applyFill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Default Probability</c:v>
          </c:tx>
          <c:marker>
            <c:symbol val="none"/>
          </c:marker>
          <c:cat>
            <c:numRef>
              <c:f>Demo2!$A$2:$A$18</c:f>
              <c:numCache>
                <c:formatCode>General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cat>
          <c:val>
            <c:numRef>
              <c:f>Demo2!$B$2:$B$18</c:f>
              <c:numCache>
                <c:formatCode>General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0-4ACB-89E9-56FDD4D0A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10016"/>
        <c:axId val="55066624"/>
      </c:lineChart>
      <c:catAx>
        <c:axId val="5271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066624"/>
        <c:crosses val="autoZero"/>
        <c:auto val="1"/>
        <c:lblAlgn val="ctr"/>
        <c:lblOffset val="100"/>
        <c:noMultiLvlLbl val="0"/>
      </c:catAx>
      <c:valAx>
        <c:axId val="5506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710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33337</xdr:rowOff>
    </xdr:from>
    <xdr:to>
      <xdr:col>10</xdr:col>
      <xdr:colOff>361950</xdr:colOff>
      <xdr:row>15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550"/>
  <sheetViews>
    <sheetView tabSelected="1" topLeftCell="D1" workbookViewId="0">
      <selection activeCell="T25" sqref="T25"/>
    </sheetView>
  </sheetViews>
  <sheetFormatPr defaultRowHeight="13.5" x14ac:dyDescent="0.15"/>
  <cols>
    <col min="1" max="1" width="17.75" style="5" customWidth="1"/>
    <col min="2" max="2" width="13" style="5" customWidth="1"/>
    <col min="3" max="3" width="12.125" style="5" customWidth="1"/>
    <col min="4" max="4" width="14.125" style="5" customWidth="1"/>
    <col min="5" max="5" width="14.375" style="5" customWidth="1"/>
    <col min="6" max="6" width="14.25" style="5" customWidth="1"/>
    <col min="7" max="7" width="13.375" style="5" customWidth="1"/>
    <col min="8" max="8" width="14.875" style="5" customWidth="1"/>
    <col min="9" max="9" width="13.375" style="5" customWidth="1"/>
    <col min="10" max="10" width="14" style="5" customWidth="1"/>
    <col min="11" max="11" width="12.625" style="5" customWidth="1"/>
    <col min="12" max="12" width="12.875" style="7" customWidth="1"/>
    <col min="13" max="13" width="14.375" style="7" customWidth="1"/>
    <col min="14" max="14" width="13.375" style="7" customWidth="1"/>
    <col min="15" max="15" width="17.75" style="7" customWidth="1"/>
    <col min="16" max="16" width="27.75" style="10" customWidth="1"/>
  </cols>
  <sheetData>
    <row r="1" spans="1:17" x14ac:dyDescent="0.15">
      <c r="A1" s="3" t="s">
        <v>3</v>
      </c>
      <c r="B1" s="4" t="s">
        <v>18</v>
      </c>
      <c r="C1" s="3" t="s">
        <v>19</v>
      </c>
      <c r="D1" s="3" t="s">
        <v>20</v>
      </c>
      <c r="E1" s="3" t="s">
        <v>21</v>
      </c>
      <c r="F1" s="4" t="s">
        <v>22</v>
      </c>
      <c r="G1" s="3" t="s">
        <v>23</v>
      </c>
      <c r="H1" s="3" t="s">
        <v>24</v>
      </c>
      <c r="I1" s="3" t="s">
        <v>25</v>
      </c>
      <c r="J1" s="4" t="s">
        <v>26</v>
      </c>
      <c r="K1" s="3" t="s">
        <v>27</v>
      </c>
      <c r="L1" s="8" t="s">
        <v>16</v>
      </c>
      <c r="M1" s="8" t="s">
        <v>11</v>
      </c>
      <c r="N1" s="8" t="s">
        <v>13</v>
      </c>
      <c r="O1" s="8" t="s">
        <v>39</v>
      </c>
      <c r="P1" s="9" t="s">
        <v>28</v>
      </c>
      <c r="Q1" s="6"/>
    </row>
    <row r="2" spans="1:17" x14ac:dyDescent="0.15">
      <c r="L2" s="7">
        <f>$Q$1 + $Q$2*B2+$Q$3*C2+ $Q$4*D2+$Q$5*E2+$Q$6*F2+$Q$7*G2+H2*$Q$8+I2*$Q$9+J2*$Q$10+K2*$Q$11</f>
        <v>0</v>
      </c>
      <c r="M2" s="7">
        <f>EXP(L2)</f>
        <v>1</v>
      </c>
      <c r="N2" s="7">
        <f>1/(1+M2)</f>
        <v>0.5</v>
      </c>
      <c r="O2" s="7">
        <f>A2*LN(N2)+(1-A2)*LN(1-N2)</f>
        <v>-0.69314718055994529</v>
      </c>
      <c r="P2" s="9" t="s">
        <v>29</v>
      </c>
      <c r="Q2" s="6"/>
    </row>
    <row r="3" spans="1:17" x14ac:dyDescent="0.15">
      <c r="L3" s="7">
        <f t="shared" ref="L3:L66" si="0">$Q$1 + $Q$2*B3+$Q$3*C3+ $Q$4*D3+$Q$5*E3+$Q$6*F3+$Q$7*G3+H3*$Q$8+I3*$Q$9+J3*$Q$10+K3*$Q$11</f>
        <v>0</v>
      </c>
      <c r="M3" s="7">
        <f t="shared" ref="M3:M66" si="1">EXP(L3)</f>
        <v>1</v>
      </c>
      <c r="N3" s="7">
        <f t="shared" ref="N3:N66" si="2">1/(1+M3)</f>
        <v>0.5</v>
      </c>
      <c r="O3" s="7">
        <f t="shared" ref="O3:O66" si="3">A3*LN(N3)+(1-A3)*LN(1-N3)</f>
        <v>-0.69314718055994529</v>
      </c>
      <c r="P3" s="9" t="s">
        <v>30</v>
      </c>
      <c r="Q3" s="6"/>
    </row>
    <row r="4" spans="1:17" x14ac:dyDescent="0.15">
      <c r="L4" s="7">
        <f t="shared" si="0"/>
        <v>0</v>
      </c>
      <c r="M4" s="7">
        <f t="shared" si="1"/>
        <v>1</v>
      </c>
      <c r="N4" s="7">
        <f t="shared" si="2"/>
        <v>0.5</v>
      </c>
      <c r="O4" s="7">
        <f t="shared" si="3"/>
        <v>-0.69314718055994529</v>
      </c>
      <c r="P4" s="9" t="s">
        <v>31</v>
      </c>
      <c r="Q4" s="6"/>
    </row>
    <row r="5" spans="1:17" x14ac:dyDescent="0.15">
      <c r="L5" s="7">
        <f t="shared" si="0"/>
        <v>0</v>
      </c>
      <c r="M5" s="7">
        <f t="shared" si="1"/>
        <v>1</v>
      </c>
      <c r="N5" s="7">
        <f t="shared" si="2"/>
        <v>0.5</v>
      </c>
      <c r="O5" s="7">
        <f t="shared" si="3"/>
        <v>-0.69314718055994529</v>
      </c>
      <c r="P5" s="9" t="s">
        <v>32</v>
      </c>
      <c r="Q5" s="6"/>
    </row>
    <row r="6" spans="1:17" x14ac:dyDescent="0.15">
      <c r="L6" s="7">
        <f t="shared" si="0"/>
        <v>0</v>
      </c>
      <c r="M6" s="7">
        <f t="shared" si="1"/>
        <v>1</v>
      </c>
      <c r="N6" s="7">
        <f t="shared" si="2"/>
        <v>0.5</v>
      </c>
      <c r="O6" s="7">
        <f t="shared" si="3"/>
        <v>-0.69314718055994529</v>
      </c>
      <c r="P6" s="9" t="s">
        <v>33</v>
      </c>
      <c r="Q6" s="6"/>
    </row>
    <row r="7" spans="1:17" x14ac:dyDescent="0.15">
      <c r="L7" s="7">
        <f t="shared" si="0"/>
        <v>0</v>
      </c>
      <c r="M7" s="7">
        <f t="shared" si="1"/>
        <v>1</v>
      </c>
      <c r="N7" s="7">
        <f t="shared" si="2"/>
        <v>0.5</v>
      </c>
      <c r="O7" s="7">
        <f t="shared" si="3"/>
        <v>-0.69314718055994529</v>
      </c>
      <c r="P7" s="9" t="s">
        <v>34</v>
      </c>
      <c r="Q7" s="6"/>
    </row>
    <row r="8" spans="1:17" x14ac:dyDescent="0.15">
      <c r="L8" s="7">
        <f t="shared" si="0"/>
        <v>0</v>
      </c>
      <c r="M8" s="7">
        <f t="shared" si="1"/>
        <v>1</v>
      </c>
      <c r="N8" s="7">
        <f t="shared" si="2"/>
        <v>0.5</v>
      </c>
      <c r="O8" s="7">
        <f t="shared" si="3"/>
        <v>-0.69314718055994529</v>
      </c>
      <c r="P8" s="9" t="s">
        <v>35</v>
      </c>
      <c r="Q8" s="6"/>
    </row>
    <row r="9" spans="1:17" x14ac:dyDescent="0.15">
      <c r="L9" s="7">
        <f t="shared" si="0"/>
        <v>0</v>
      </c>
      <c r="M9" s="7">
        <f t="shared" si="1"/>
        <v>1</v>
      </c>
      <c r="N9" s="7">
        <f t="shared" si="2"/>
        <v>0.5</v>
      </c>
      <c r="O9" s="7">
        <f t="shared" si="3"/>
        <v>-0.69314718055994529</v>
      </c>
      <c r="P9" s="9" t="s">
        <v>36</v>
      </c>
      <c r="Q9" s="6"/>
    </row>
    <row r="10" spans="1:17" x14ac:dyDescent="0.15">
      <c r="L10" s="7">
        <f t="shared" si="0"/>
        <v>0</v>
      </c>
      <c r="M10" s="7">
        <f t="shared" si="1"/>
        <v>1</v>
      </c>
      <c r="N10" s="7">
        <f t="shared" si="2"/>
        <v>0.5</v>
      </c>
      <c r="O10" s="7">
        <f t="shared" si="3"/>
        <v>-0.69314718055994529</v>
      </c>
      <c r="P10" s="9" t="s">
        <v>37</v>
      </c>
      <c r="Q10" s="6"/>
    </row>
    <row r="11" spans="1:17" x14ac:dyDescent="0.15">
      <c r="L11" s="7">
        <f t="shared" si="0"/>
        <v>0</v>
      </c>
      <c r="M11" s="7">
        <f t="shared" si="1"/>
        <v>1</v>
      </c>
      <c r="N11" s="7">
        <f t="shared" si="2"/>
        <v>0.5</v>
      </c>
      <c r="O11" s="7">
        <f t="shared" si="3"/>
        <v>-0.69314718055994529</v>
      </c>
      <c r="P11" s="9" t="s">
        <v>38</v>
      </c>
      <c r="Q11" s="6"/>
    </row>
    <row r="12" spans="1:17" x14ac:dyDescent="0.15">
      <c r="L12" s="7">
        <f t="shared" si="0"/>
        <v>0</v>
      </c>
      <c r="M12" s="7">
        <f t="shared" si="1"/>
        <v>1</v>
      </c>
      <c r="N12" s="7">
        <f t="shared" si="2"/>
        <v>0.5</v>
      </c>
      <c r="O12" s="7">
        <f t="shared" si="3"/>
        <v>-0.69314718055994529</v>
      </c>
    </row>
    <row r="13" spans="1:17" x14ac:dyDescent="0.15">
      <c r="L13" s="7">
        <f t="shared" si="0"/>
        <v>0</v>
      </c>
      <c r="M13" s="7">
        <f t="shared" si="1"/>
        <v>1</v>
      </c>
      <c r="N13" s="7">
        <f t="shared" si="2"/>
        <v>0.5</v>
      </c>
      <c r="O13" s="7">
        <f t="shared" si="3"/>
        <v>-0.69314718055994529</v>
      </c>
    </row>
    <row r="14" spans="1:17" x14ac:dyDescent="0.15">
      <c r="L14" s="7">
        <f t="shared" si="0"/>
        <v>0</v>
      </c>
      <c r="M14" s="7">
        <f t="shared" si="1"/>
        <v>1</v>
      </c>
      <c r="N14" s="7">
        <f t="shared" si="2"/>
        <v>0.5</v>
      </c>
      <c r="O14" s="7">
        <f t="shared" si="3"/>
        <v>-0.69314718055994529</v>
      </c>
      <c r="P14" s="10" t="s">
        <v>40</v>
      </c>
    </row>
    <row r="15" spans="1:17" x14ac:dyDescent="0.15">
      <c r="L15" s="7">
        <f t="shared" si="0"/>
        <v>0</v>
      </c>
      <c r="M15" s="7">
        <f t="shared" si="1"/>
        <v>1</v>
      </c>
      <c r="N15" s="7">
        <f t="shared" si="2"/>
        <v>0.5</v>
      </c>
      <c r="O15" s="7">
        <f t="shared" si="3"/>
        <v>-0.69314718055994529</v>
      </c>
      <c r="P15" s="10" t="s">
        <v>41</v>
      </c>
      <c r="Q15">
        <f>SUM(O:O)</f>
        <v>-1073.684982687312</v>
      </c>
    </row>
    <row r="16" spans="1:17" x14ac:dyDescent="0.15">
      <c r="L16" s="7">
        <f t="shared" si="0"/>
        <v>0</v>
      </c>
      <c r="M16" s="7">
        <f t="shared" si="1"/>
        <v>1</v>
      </c>
      <c r="N16" s="7">
        <f t="shared" si="2"/>
        <v>0.5</v>
      </c>
      <c r="O16" s="7">
        <f t="shared" si="3"/>
        <v>-0.69314718055994529</v>
      </c>
    </row>
    <row r="17" spans="12:15" x14ac:dyDescent="0.15">
      <c r="L17" s="7">
        <f t="shared" si="0"/>
        <v>0</v>
      </c>
      <c r="M17" s="7">
        <f t="shared" si="1"/>
        <v>1</v>
      </c>
      <c r="N17" s="7">
        <f t="shared" si="2"/>
        <v>0.5</v>
      </c>
      <c r="O17" s="7">
        <f t="shared" si="3"/>
        <v>-0.69314718055994529</v>
      </c>
    </row>
    <row r="18" spans="12:15" x14ac:dyDescent="0.15">
      <c r="L18" s="7">
        <f t="shared" si="0"/>
        <v>0</v>
      </c>
      <c r="M18" s="7">
        <f t="shared" si="1"/>
        <v>1</v>
      </c>
      <c r="N18" s="7">
        <f t="shared" si="2"/>
        <v>0.5</v>
      </c>
      <c r="O18" s="7">
        <f t="shared" si="3"/>
        <v>-0.69314718055994529</v>
      </c>
    </row>
    <row r="19" spans="12:15" x14ac:dyDescent="0.15">
      <c r="L19" s="7">
        <f t="shared" si="0"/>
        <v>0</v>
      </c>
      <c r="M19" s="7">
        <f t="shared" si="1"/>
        <v>1</v>
      </c>
      <c r="N19" s="7">
        <f t="shared" si="2"/>
        <v>0.5</v>
      </c>
      <c r="O19" s="7">
        <f t="shared" si="3"/>
        <v>-0.69314718055994529</v>
      </c>
    </row>
    <row r="20" spans="12:15" x14ac:dyDescent="0.15">
      <c r="L20" s="7">
        <f t="shared" si="0"/>
        <v>0</v>
      </c>
      <c r="M20" s="7">
        <f t="shared" si="1"/>
        <v>1</v>
      </c>
      <c r="N20" s="7">
        <f t="shared" si="2"/>
        <v>0.5</v>
      </c>
      <c r="O20" s="7">
        <f t="shared" si="3"/>
        <v>-0.69314718055994529</v>
      </c>
    </row>
    <row r="21" spans="12:15" x14ac:dyDescent="0.15">
      <c r="L21" s="7">
        <f t="shared" si="0"/>
        <v>0</v>
      </c>
      <c r="M21" s="7">
        <f t="shared" si="1"/>
        <v>1</v>
      </c>
      <c r="N21" s="7">
        <f t="shared" si="2"/>
        <v>0.5</v>
      </c>
      <c r="O21" s="7">
        <f t="shared" si="3"/>
        <v>-0.69314718055994529</v>
      </c>
    </row>
    <row r="22" spans="12:15" x14ac:dyDescent="0.15">
      <c r="L22" s="7">
        <f t="shared" si="0"/>
        <v>0</v>
      </c>
      <c r="M22" s="7">
        <f t="shared" si="1"/>
        <v>1</v>
      </c>
      <c r="N22" s="7">
        <f t="shared" si="2"/>
        <v>0.5</v>
      </c>
      <c r="O22" s="7">
        <f t="shared" si="3"/>
        <v>-0.69314718055994529</v>
      </c>
    </row>
    <row r="23" spans="12:15" x14ac:dyDescent="0.15">
      <c r="L23" s="7">
        <f t="shared" si="0"/>
        <v>0</v>
      </c>
      <c r="M23" s="7">
        <f t="shared" si="1"/>
        <v>1</v>
      </c>
      <c r="N23" s="7">
        <f t="shared" si="2"/>
        <v>0.5</v>
      </c>
      <c r="O23" s="7">
        <f t="shared" si="3"/>
        <v>-0.69314718055994529</v>
      </c>
    </row>
    <row r="24" spans="12:15" x14ac:dyDescent="0.15">
      <c r="L24" s="7">
        <f t="shared" si="0"/>
        <v>0</v>
      </c>
      <c r="M24" s="7">
        <f t="shared" si="1"/>
        <v>1</v>
      </c>
      <c r="N24" s="7">
        <f t="shared" si="2"/>
        <v>0.5</v>
      </c>
      <c r="O24" s="7">
        <f t="shared" si="3"/>
        <v>-0.69314718055994529</v>
      </c>
    </row>
    <row r="25" spans="12:15" x14ac:dyDescent="0.15">
      <c r="L25" s="7">
        <f t="shared" si="0"/>
        <v>0</v>
      </c>
      <c r="M25" s="7">
        <f t="shared" si="1"/>
        <v>1</v>
      </c>
      <c r="N25" s="7">
        <f t="shared" si="2"/>
        <v>0.5</v>
      </c>
      <c r="O25" s="7">
        <f t="shared" si="3"/>
        <v>-0.69314718055994529</v>
      </c>
    </row>
    <row r="26" spans="12:15" x14ac:dyDescent="0.15">
      <c r="L26" s="7">
        <f t="shared" si="0"/>
        <v>0</v>
      </c>
      <c r="M26" s="7">
        <f t="shared" si="1"/>
        <v>1</v>
      </c>
      <c r="N26" s="7">
        <f t="shared" si="2"/>
        <v>0.5</v>
      </c>
      <c r="O26" s="7">
        <f t="shared" si="3"/>
        <v>-0.69314718055994529</v>
      </c>
    </row>
    <row r="27" spans="12:15" x14ac:dyDescent="0.15">
      <c r="L27" s="7">
        <f t="shared" si="0"/>
        <v>0</v>
      </c>
      <c r="M27" s="7">
        <f t="shared" si="1"/>
        <v>1</v>
      </c>
      <c r="N27" s="7">
        <f t="shared" si="2"/>
        <v>0.5</v>
      </c>
      <c r="O27" s="7">
        <f t="shared" si="3"/>
        <v>-0.69314718055994529</v>
      </c>
    </row>
    <row r="28" spans="12:15" x14ac:dyDescent="0.15">
      <c r="L28" s="7">
        <f t="shared" si="0"/>
        <v>0</v>
      </c>
      <c r="M28" s="7">
        <f t="shared" si="1"/>
        <v>1</v>
      </c>
      <c r="N28" s="7">
        <f t="shared" si="2"/>
        <v>0.5</v>
      </c>
      <c r="O28" s="7">
        <f t="shared" si="3"/>
        <v>-0.69314718055994529</v>
      </c>
    </row>
    <row r="29" spans="12:15" x14ac:dyDescent="0.15">
      <c r="L29" s="7">
        <f t="shared" si="0"/>
        <v>0</v>
      </c>
      <c r="M29" s="7">
        <f t="shared" si="1"/>
        <v>1</v>
      </c>
      <c r="N29" s="7">
        <f t="shared" si="2"/>
        <v>0.5</v>
      </c>
      <c r="O29" s="7">
        <f t="shared" si="3"/>
        <v>-0.69314718055994529</v>
      </c>
    </row>
    <row r="30" spans="12:15" x14ac:dyDescent="0.15">
      <c r="L30" s="7">
        <f t="shared" si="0"/>
        <v>0</v>
      </c>
      <c r="M30" s="7">
        <f t="shared" si="1"/>
        <v>1</v>
      </c>
      <c r="N30" s="7">
        <f t="shared" si="2"/>
        <v>0.5</v>
      </c>
      <c r="O30" s="7">
        <f t="shared" si="3"/>
        <v>-0.69314718055994529</v>
      </c>
    </row>
    <row r="31" spans="12:15" x14ac:dyDescent="0.15">
      <c r="L31" s="7">
        <f t="shared" si="0"/>
        <v>0</v>
      </c>
      <c r="M31" s="7">
        <f t="shared" si="1"/>
        <v>1</v>
      </c>
      <c r="N31" s="7">
        <f t="shared" si="2"/>
        <v>0.5</v>
      </c>
      <c r="O31" s="7">
        <f t="shared" si="3"/>
        <v>-0.69314718055994529</v>
      </c>
    </row>
    <row r="32" spans="12:15" x14ac:dyDescent="0.15">
      <c r="L32" s="7">
        <f t="shared" si="0"/>
        <v>0</v>
      </c>
      <c r="M32" s="7">
        <f t="shared" si="1"/>
        <v>1</v>
      </c>
      <c r="N32" s="7">
        <f t="shared" si="2"/>
        <v>0.5</v>
      </c>
      <c r="O32" s="7">
        <f t="shared" si="3"/>
        <v>-0.69314718055994529</v>
      </c>
    </row>
    <row r="33" spans="12:15" x14ac:dyDescent="0.15">
      <c r="L33" s="7">
        <f t="shared" si="0"/>
        <v>0</v>
      </c>
      <c r="M33" s="7">
        <f t="shared" si="1"/>
        <v>1</v>
      </c>
      <c r="N33" s="7">
        <f t="shared" si="2"/>
        <v>0.5</v>
      </c>
      <c r="O33" s="7">
        <f t="shared" si="3"/>
        <v>-0.69314718055994529</v>
      </c>
    </row>
    <row r="34" spans="12:15" x14ac:dyDescent="0.15">
      <c r="L34" s="7">
        <f t="shared" si="0"/>
        <v>0</v>
      </c>
      <c r="M34" s="7">
        <f t="shared" si="1"/>
        <v>1</v>
      </c>
      <c r="N34" s="7">
        <f t="shared" si="2"/>
        <v>0.5</v>
      </c>
      <c r="O34" s="7">
        <f t="shared" si="3"/>
        <v>-0.69314718055994529</v>
      </c>
    </row>
    <row r="35" spans="12:15" x14ac:dyDescent="0.15">
      <c r="L35" s="7">
        <f t="shared" si="0"/>
        <v>0</v>
      </c>
      <c r="M35" s="7">
        <f t="shared" si="1"/>
        <v>1</v>
      </c>
      <c r="N35" s="7">
        <f t="shared" si="2"/>
        <v>0.5</v>
      </c>
      <c r="O35" s="7">
        <f t="shared" si="3"/>
        <v>-0.69314718055994529</v>
      </c>
    </row>
    <row r="36" spans="12:15" x14ac:dyDescent="0.15">
      <c r="L36" s="7">
        <f t="shared" si="0"/>
        <v>0</v>
      </c>
      <c r="M36" s="7">
        <f t="shared" si="1"/>
        <v>1</v>
      </c>
      <c r="N36" s="7">
        <f t="shared" si="2"/>
        <v>0.5</v>
      </c>
      <c r="O36" s="7">
        <f t="shared" si="3"/>
        <v>-0.69314718055994529</v>
      </c>
    </row>
    <row r="37" spans="12:15" x14ac:dyDescent="0.15">
      <c r="L37" s="7">
        <f t="shared" si="0"/>
        <v>0</v>
      </c>
      <c r="M37" s="7">
        <f t="shared" si="1"/>
        <v>1</v>
      </c>
      <c r="N37" s="7">
        <f t="shared" si="2"/>
        <v>0.5</v>
      </c>
      <c r="O37" s="7">
        <f t="shared" si="3"/>
        <v>-0.69314718055994529</v>
      </c>
    </row>
    <row r="38" spans="12:15" x14ac:dyDescent="0.15">
      <c r="L38" s="7">
        <f t="shared" si="0"/>
        <v>0</v>
      </c>
      <c r="M38" s="7">
        <f t="shared" si="1"/>
        <v>1</v>
      </c>
      <c r="N38" s="7">
        <f t="shared" si="2"/>
        <v>0.5</v>
      </c>
      <c r="O38" s="7">
        <f t="shared" si="3"/>
        <v>-0.69314718055994529</v>
      </c>
    </row>
    <row r="39" spans="12:15" x14ac:dyDescent="0.15">
      <c r="L39" s="7">
        <f t="shared" si="0"/>
        <v>0</v>
      </c>
      <c r="M39" s="7">
        <f t="shared" si="1"/>
        <v>1</v>
      </c>
      <c r="N39" s="7">
        <f t="shared" si="2"/>
        <v>0.5</v>
      </c>
      <c r="O39" s="7">
        <f t="shared" si="3"/>
        <v>-0.69314718055994529</v>
      </c>
    </row>
    <row r="40" spans="12:15" x14ac:dyDescent="0.15">
      <c r="L40" s="7">
        <f t="shared" si="0"/>
        <v>0</v>
      </c>
      <c r="M40" s="7">
        <f t="shared" si="1"/>
        <v>1</v>
      </c>
      <c r="N40" s="7">
        <f t="shared" si="2"/>
        <v>0.5</v>
      </c>
      <c r="O40" s="7">
        <f t="shared" si="3"/>
        <v>-0.69314718055994529</v>
      </c>
    </row>
    <row r="41" spans="12:15" x14ac:dyDescent="0.15">
      <c r="L41" s="7">
        <f t="shared" si="0"/>
        <v>0</v>
      </c>
      <c r="M41" s="7">
        <f t="shared" si="1"/>
        <v>1</v>
      </c>
      <c r="N41" s="7">
        <f t="shared" si="2"/>
        <v>0.5</v>
      </c>
      <c r="O41" s="7">
        <f t="shared" si="3"/>
        <v>-0.69314718055994529</v>
      </c>
    </row>
    <row r="42" spans="12:15" x14ac:dyDescent="0.15">
      <c r="L42" s="7">
        <f t="shared" si="0"/>
        <v>0</v>
      </c>
      <c r="M42" s="7">
        <f t="shared" si="1"/>
        <v>1</v>
      </c>
      <c r="N42" s="7">
        <f t="shared" si="2"/>
        <v>0.5</v>
      </c>
      <c r="O42" s="7">
        <f t="shared" si="3"/>
        <v>-0.69314718055994529</v>
      </c>
    </row>
    <row r="43" spans="12:15" x14ac:dyDescent="0.15">
      <c r="L43" s="7">
        <f t="shared" si="0"/>
        <v>0</v>
      </c>
      <c r="M43" s="7">
        <f t="shared" si="1"/>
        <v>1</v>
      </c>
      <c r="N43" s="7">
        <f t="shared" si="2"/>
        <v>0.5</v>
      </c>
      <c r="O43" s="7">
        <f t="shared" si="3"/>
        <v>-0.69314718055994529</v>
      </c>
    </row>
    <row r="44" spans="12:15" x14ac:dyDescent="0.15">
      <c r="L44" s="7">
        <f t="shared" si="0"/>
        <v>0</v>
      </c>
      <c r="M44" s="7">
        <f t="shared" si="1"/>
        <v>1</v>
      </c>
      <c r="N44" s="7">
        <f t="shared" si="2"/>
        <v>0.5</v>
      </c>
      <c r="O44" s="7">
        <f t="shared" si="3"/>
        <v>-0.69314718055994529</v>
      </c>
    </row>
    <row r="45" spans="12:15" x14ac:dyDescent="0.15">
      <c r="L45" s="7">
        <f t="shared" si="0"/>
        <v>0</v>
      </c>
      <c r="M45" s="7">
        <f t="shared" si="1"/>
        <v>1</v>
      </c>
      <c r="N45" s="7">
        <f t="shared" si="2"/>
        <v>0.5</v>
      </c>
      <c r="O45" s="7">
        <f t="shared" si="3"/>
        <v>-0.69314718055994529</v>
      </c>
    </row>
    <row r="46" spans="12:15" x14ac:dyDescent="0.15">
      <c r="L46" s="7">
        <f t="shared" si="0"/>
        <v>0</v>
      </c>
      <c r="M46" s="7">
        <f t="shared" si="1"/>
        <v>1</v>
      </c>
      <c r="N46" s="7">
        <f t="shared" si="2"/>
        <v>0.5</v>
      </c>
      <c r="O46" s="7">
        <f t="shared" si="3"/>
        <v>-0.69314718055994529</v>
      </c>
    </row>
    <row r="47" spans="12:15" x14ac:dyDescent="0.15">
      <c r="L47" s="7">
        <f t="shared" si="0"/>
        <v>0</v>
      </c>
      <c r="M47" s="7">
        <f t="shared" si="1"/>
        <v>1</v>
      </c>
      <c r="N47" s="7">
        <f t="shared" si="2"/>
        <v>0.5</v>
      </c>
      <c r="O47" s="7">
        <f t="shared" si="3"/>
        <v>-0.69314718055994529</v>
      </c>
    </row>
    <row r="48" spans="12:15" x14ac:dyDescent="0.15">
      <c r="L48" s="7">
        <f t="shared" si="0"/>
        <v>0</v>
      </c>
      <c r="M48" s="7">
        <f t="shared" si="1"/>
        <v>1</v>
      </c>
      <c r="N48" s="7">
        <f t="shared" si="2"/>
        <v>0.5</v>
      </c>
      <c r="O48" s="7">
        <f t="shared" si="3"/>
        <v>-0.69314718055994529</v>
      </c>
    </row>
    <row r="49" spans="12:15" x14ac:dyDescent="0.15">
      <c r="L49" s="7">
        <f t="shared" si="0"/>
        <v>0</v>
      </c>
      <c r="M49" s="7">
        <f t="shared" si="1"/>
        <v>1</v>
      </c>
      <c r="N49" s="7">
        <f t="shared" si="2"/>
        <v>0.5</v>
      </c>
      <c r="O49" s="7">
        <f t="shared" si="3"/>
        <v>-0.69314718055994529</v>
      </c>
    </row>
    <row r="50" spans="12:15" x14ac:dyDescent="0.15">
      <c r="L50" s="7">
        <f t="shared" si="0"/>
        <v>0</v>
      </c>
      <c r="M50" s="7">
        <f t="shared" si="1"/>
        <v>1</v>
      </c>
      <c r="N50" s="7">
        <f t="shared" si="2"/>
        <v>0.5</v>
      </c>
      <c r="O50" s="7">
        <f t="shared" si="3"/>
        <v>-0.69314718055994529</v>
      </c>
    </row>
    <row r="51" spans="12:15" x14ac:dyDescent="0.15">
      <c r="L51" s="7">
        <f t="shared" si="0"/>
        <v>0</v>
      </c>
      <c r="M51" s="7">
        <f t="shared" si="1"/>
        <v>1</v>
      </c>
      <c r="N51" s="7">
        <f t="shared" si="2"/>
        <v>0.5</v>
      </c>
      <c r="O51" s="7">
        <f t="shared" si="3"/>
        <v>-0.69314718055994529</v>
      </c>
    </row>
    <row r="52" spans="12:15" x14ac:dyDescent="0.15">
      <c r="L52" s="7">
        <f t="shared" si="0"/>
        <v>0</v>
      </c>
      <c r="M52" s="7">
        <f t="shared" si="1"/>
        <v>1</v>
      </c>
      <c r="N52" s="7">
        <f t="shared" si="2"/>
        <v>0.5</v>
      </c>
      <c r="O52" s="7">
        <f t="shared" si="3"/>
        <v>-0.69314718055994529</v>
      </c>
    </row>
    <row r="53" spans="12:15" x14ac:dyDescent="0.15">
      <c r="L53" s="7">
        <f t="shared" si="0"/>
        <v>0</v>
      </c>
      <c r="M53" s="7">
        <f t="shared" si="1"/>
        <v>1</v>
      </c>
      <c r="N53" s="7">
        <f t="shared" si="2"/>
        <v>0.5</v>
      </c>
      <c r="O53" s="7">
        <f t="shared" si="3"/>
        <v>-0.69314718055994529</v>
      </c>
    </row>
    <row r="54" spans="12:15" x14ac:dyDescent="0.15">
      <c r="L54" s="7">
        <f t="shared" si="0"/>
        <v>0</v>
      </c>
      <c r="M54" s="7">
        <f t="shared" si="1"/>
        <v>1</v>
      </c>
      <c r="N54" s="7">
        <f t="shared" si="2"/>
        <v>0.5</v>
      </c>
      <c r="O54" s="7">
        <f t="shared" si="3"/>
        <v>-0.69314718055994529</v>
      </c>
    </row>
    <row r="55" spans="12:15" x14ac:dyDescent="0.15">
      <c r="L55" s="7">
        <f t="shared" si="0"/>
        <v>0</v>
      </c>
      <c r="M55" s="7">
        <f t="shared" si="1"/>
        <v>1</v>
      </c>
      <c r="N55" s="7">
        <f t="shared" si="2"/>
        <v>0.5</v>
      </c>
      <c r="O55" s="7">
        <f t="shared" si="3"/>
        <v>-0.69314718055994529</v>
      </c>
    </row>
    <row r="56" spans="12:15" x14ac:dyDescent="0.15">
      <c r="L56" s="7">
        <f t="shared" si="0"/>
        <v>0</v>
      </c>
      <c r="M56" s="7">
        <f t="shared" si="1"/>
        <v>1</v>
      </c>
      <c r="N56" s="7">
        <f t="shared" si="2"/>
        <v>0.5</v>
      </c>
      <c r="O56" s="7">
        <f t="shared" si="3"/>
        <v>-0.69314718055994529</v>
      </c>
    </row>
    <row r="57" spans="12:15" x14ac:dyDescent="0.15">
      <c r="L57" s="7">
        <f t="shared" si="0"/>
        <v>0</v>
      </c>
      <c r="M57" s="7">
        <f t="shared" si="1"/>
        <v>1</v>
      </c>
      <c r="N57" s="7">
        <f t="shared" si="2"/>
        <v>0.5</v>
      </c>
      <c r="O57" s="7">
        <f t="shared" si="3"/>
        <v>-0.69314718055994529</v>
      </c>
    </row>
    <row r="58" spans="12:15" x14ac:dyDescent="0.15">
      <c r="L58" s="7">
        <f t="shared" si="0"/>
        <v>0</v>
      </c>
      <c r="M58" s="7">
        <f t="shared" si="1"/>
        <v>1</v>
      </c>
      <c r="N58" s="7">
        <f t="shared" si="2"/>
        <v>0.5</v>
      </c>
      <c r="O58" s="7">
        <f t="shared" si="3"/>
        <v>-0.69314718055994529</v>
      </c>
    </row>
    <row r="59" spans="12:15" x14ac:dyDescent="0.15">
      <c r="L59" s="7">
        <f t="shared" si="0"/>
        <v>0</v>
      </c>
      <c r="M59" s="7">
        <f t="shared" si="1"/>
        <v>1</v>
      </c>
      <c r="N59" s="7">
        <f t="shared" si="2"/>
        <v>0.5</v>
      </c>
      <c r="O59" s="7">
        <f t="shared" si="3"/>
        <v>-0.69314718055994529</v>
      </c>
    </row>
    <row r="60" spans="12:15" x14ac:dyDescent="0.15">
      <c r="L60" s="7">
        <f t="shared" si="0"/>
        <v>0</v>
      </c>
      <c r="M60" s="7">
        <f t="shared" si="1"/>
        <v>1</v>
      </c>
      <c r="N60" s="7">
        <f t="shared" si="2"/>
        <v>0.5</v>
      </c>
      <c r="O60" s="7">
        <f t="shared" si="3"/>
        <v>-0.69314718055994529</v>
      </c>
    </row>
    <row r="61" spans="12:15" x14ac:dyDescent="0.15">
      <c r="L61" s="7">
        <f t="shared" si="0"/>
        <v>0</v>
      </c>
      <c r="M61" s="7">
        <f t="shared" si="1"/>
        <v>1</v>
      </c>
      <c r="N61" s="7">
        <f t="shared" si="2"/>
        <v>0.5</v>
      </c>
      <c r="O61" s="7">
        <f t="shared" si="3"/>
        <v>-0.69314718055994529</v>
      </c>
    </row>
    <row r="62" spans="12:15" x14ac:dyDescent="0.15">
      <c r="L62" s="7">
        <f t="shared" si="0"/>
        <v>0</v>
      </c>
      <c r="M62" s="7">
        <f t="shared" si="1"/>
        <v>1</v>
      </c>
      <c r="N62" s="7">
        <f t="shared" si="2"/>
        <v>0.5</v>
      </c>
      <c r="O62" s="7">
        <f t="shared" si="3"/>
        <v>-0.69314718055994529</v>
      </c>
    </row>
    <row r="63" spans="12:15" x14ac:dyDescent="0.15">
      <c r="L63" s="7">
        <f t="shared" si="0"/>
        <v>0</v>
      </c>
      <c r="M63" s="7">
        <f t="shared" si="1"/>
        <v>1</v>
      </c>
      <c r="N63" s="7">
        <f t="shared" si="2"/>
        <v>0.5</v>
      </c>
      <c r="O63" s="7">
        <f t="shared" si="3"/>
        <v>-0.69314718055994529</v>
      </c>
    </row>
    <row r="64" spans="12:15" x14ac:dyDescent="0.15">
      <c r="L64" s="7">
        <f t="shared" si="0"/>
        <v>0</v>
      </c>
      <c r="M64" s="7">
        <f t="shared" si="1"/>
        <v>1</v>
      </c>
      <c r="N64" s="7">
        <f t="shared" si="2"/>
        <v>0.5</v>
      </c>
      <c r="O64" s="7">
        <f t="shared" si="3"/>
        <v>-0.69314718055994529</v>
      </c>
    </row>
    <row r="65" spans="12:15" x14ac:dyDescent="0.15">
      <c r="L65" s="7">
        <f t="shared" si="0"/>
        <v>0</v>
      </c>
      <c r="M65" s="7">
        <f t="shared" si="1"/>
        <v>1</v>
      </c>
      <c r="N65" s="7">
        <f t="shared" si="2"/>
        <v>0.5</v>
      </c>
      <c r="O65" s="7">
        <f t="shared" si="3"/>
        <v>-0.69314718055994529</v>
      </c>
    </row>
    <row r="66" spans="12:15" x14ac:dyDescent="0.15">
      <c r="L66" s="7">
        <f t="shared" si="0"/>
        <v>0</v>
      </c>
      <c r="M66" s="7">
        <f t="shared" si="1"/>
        <v>1</v>
      </c>
      <c r="N66" s="7">
        <f t="shared" si="2"/>
        <v>0.5</v>
      </c>
      <c r="O66" s="7">
        <f t="shared" si="3"/>
        <v>-0.69314718055994529</v>
      </c>
    </row>
    <row r="67" spans="12:15" x14ac:dyDescent="0.15">
      <c r="L67" s="7">
        <f t="shared" ref="L67:L130" si="4">$Q$1 + $Q$2*B67+$Q$3*C67+ $Q$4*D67+$Q$5*E67+$Q$6*F67+$Q$7*G67+H67*$Q$8+I67*$Q$9+J67*$Q$10+K67*$Q$11</f>
        <v>0</v>
      </c>
      <c r="M67" s="7">
        <f t="shared" ref="M67:M130" si="5">EXP(L67)</f>
        <v>1</v>
      </c>
      <c r="N67" s="7">
        <f t="shared" ref="N67:N130" si="6">1/(1+M67)</f>
        <v>0.5</v>
      </c>
      <c r="O67" s="7">
        <f t="shared" ref="O67:O130" si="7">A67*LN(N67)+(1-A67)*LN(1-N67)</f>
        <v>-0.69314718055994529</v>
      </c>
    </row>
    <row r="68" spans="12:15" x14ac:dyDescent="0.15">
      <c r="L68" s="7">
        <f t="shared" si="4"/>
        <v>0</v>
      </c>
      <c r="M68" s="7">
        <f t="shared" si="5"/>
        <v>1</v>
      </c>
      <c r="N68" s="7">
        <f t="shared" si="6"/>
        <v>0.5</v>
      </c>
      <c r="O68" s="7">
        <f t="shared" si="7"/>
        <v>-0.69314718055994529</v>
      </c>
    </row>
    <row r="69" spans="12:15" x14ac:dyDescent="0.15">
      <c r="L69" s="7">
        <f t="shared" si="4"/>
        <v>0</v>
      </c>
      <c r="M69" s="7">
        <f t="shared" si="5"/>
        <v>1</v>
      </c>
      <c r="N69" s="7">
        <f t="shared" si="6"/>
        <v>0.5</v>
      </c>
      <c r="O69" s="7">
        <f t="shared" si="7"/>
        <v>-0.69314718055994529</v>
      </c>
    </row>
    <row r="70" spans="12:15" x14ac:dyDescent="0.15">
      <c r="L70" s="7">
        <f t="shared" si="4"/>
        <v>0</v>
      </c>
      <c r="M70" s="7">
        <f t="shared" si="5"/>
        <v>1</v>
      </c>
      <c r="N70" s="7">
        <f t="shared" si="6"/>
        <v>0.5</v>
      </c>
      <c r="O70" s="7">
        <f t="shared" si="7"/>
        <v>-0.69314718055994529</v>
      </c>
    </row>
    <row r="71" spans="12:15" x14ac:dyDescent="0.15">
      <c r="L71" s="7">
        <f t="shared" si="4"/>
        <v>0</v>
      </c>
      <c r="M71" s="7">
        <f t="shared" si="5"/>
        <v>1</v>
      </c>
      <c r="N71" s="7">
        <f t="shared" si="6"/>
        <v>0.5</v>
      </c>
      <c r="O71" s="7">
        <f t="shared" si="7"/>
        <v>-0.69314718055994529</v>
      </c>
    </row>
    <row r="72" spans="12:15" x14ac:dyDescent="0.15">
      <c r="L72" s="7">
        <f t="shared" si="4"/>
        <v>0</v>
      </c>
      <c r="M72" s="7">
        <f t="shared" si="5"/>
        <v>1</v>
      </c>
      <c r="N72" s="7">
        <f t="shared" si="6"/>
        <v>0.5</v>
      </c>
      <c r="O72" s="7">
        <f t="shared" si="7"/>
        <v>-0.69314718055994529</v>
      </c>
    </row>
    <row r="73" spans="12:15" x14ac:dyDescent="0.15">
      <c r="L73" s="7">
        <f t="shared" si="4"/>
        <v>0</v>
      </c>
      <c r="M73" s="7">
        <f t="shared" si="5"/>
        <v>1</v>
      </c>
      <c r="N73" s="7">
        <f t="shared" si="6"/>
        <v>0.5</v>
      </c>
      <c r="O73" s="7">
        <f t="shared" si="7"/>
        <v>-0.69314718055994529</v>
      </c>
    </row>
    <row r="74" spans="12:15" x14ac:dyDescent="0.15">
      <c r="L74" s="7">
        <f t="shared" si="4"/>
        <v>0</v>
      </c>
      <c r="M74" s="7">
        <f t="shared" si="5"/>
        <v>1</v>
      </c>
      <c r="N74" s="7">
        <f t="shared" si="6"/>
        <v>0.5</v>
      </c>
      <c r="O74" s="7">
        <f t="shared" si="7"/>
        <v>-0.69314718055994529</v>
      </c>
    </row>
    <row r="75" spans="12:15" x14ac:dyDescent="0.15">
      <c r="L75" s="7">
        <f t="shared" si="4"/>
        <v>0</v>
      </c>
      <c r="M75" s="7">
        <f t="shared" si="5"/>
        <v>1</v>
      </c>
      <c r="N75" s="7">
        <f t="shared" si="6"/>
        <v>0.5</v>
      </c>
      <c r="O75" s="7">
        <f t="shared" si="7"/>
        <v>-0.69314718055994529</v>
      </c>
    </row>
    <row r="76" spans="12:15" x14ac:dyDescent="0.15">
      <c r="L76" s="7">
        <f t="shared" si="4"/>
        <v>0</v>
      </c>
      <c r="M76" s="7">
        <f t="shared" si="5"/>
        <v>1</v>
      </c>
      <c r="N76" s="7">
        <f t="shared" si="6"/>
        <v>0.5</v>
      </c>
      <c r="O76" s="7">
        <f t="shared" si="7"/>
        <v>-0.69314718055994529</v>
      </c>
    </row>
    <row r="77" spans="12:15" x14ac:dyDescent="0.15">
      <c r="L77" s="7">
        <f t="shared" si="4"/>
        <v>0</v>
      </c>
      <c r="M77" s="7">
        <f t="shared" si="5"/>
        <v>1</v>
      </c>
      <c r="N77" s="7">
        <f t="shared" si="6"/>
        <v>0.5</v>
      </c>
      <c r="O77" s="7">
        <f t="shared" si="7"/>
        <v>-0.69314718055994529</v>
      </c>
    </row>
    <row r="78" spans="12:15" x14ac:dyDescent="0.15">
      <c r="L78" s="7">
        <f t="shared" si="4"/>
        <v>0</v>
      </c>
      <c r="M78" s="7">
        <f t="shared" si="5"/>
        <v>1</v>
      </c>
      <c r="N78" s="7">
        <f t="shared" si="6"/>
        <v>0.5</v>
      </c>
      <c r="O78" s="7">
        <f t="shared" si="7"/>
        <v>-0.69314718055994529</v>
      </c>
    </row>
    <row r="79" spans="12:15" x14ac:dyDescent="0.15">
      <c r="L79" s="7">
        <f t="shared" si="4"/>
        <v>0</v>
      </c>
      <c r="M79" s="7">
        <f t="shared" si="5"/>
        <v>1</v>
      </c>
      <c r="N79" s="7">
        <f t="shared" si="6"/>
        <v>0.5</v>
      </c>
      <c r="O79" s="7">
        <f t="shared" si="7"/>
        <v>-0.69314718055994529</v>
      </c>
    </row>
    <row r="80" spans="12:15" x14ac:dyDescent="0.15">
      <c r="L80" s="7">
        <f t="shared" si="4"/>
        <v>0</v>
      </c>
      <c r="M80" s="7">
        <f t="shared" si="5"/>
        <v>1</v>
      </c>
      <c r="N80" s="7">
        <f t="shared" si="6"/>
        <v>0.5</v>
      </c>
      <c r="O80" s="7">
        <f t="shared" si="7"/>
        <v>-0.69314718055994529</v>
      </c>
    </row>
    <row r="81" spans="12:15" x14ac:dyDescent="0.15">
      <c r="L81" s="7">
        <f t="shared" si="4"/>
        <v>0</v>
      </c>
      <c r="M81" s="7">
        <f t="shared" si="5"/>
        <v>1</v>
      </c>
      <c r="N81" s="7">
        <f t="shared" si="6"/>
        <v>0.5</v>
      </c>
      <c r="O81" s="7">
        <f t="shared" si="7"/>
        <v>-0.69314718055994529</v>
      </c>
    </row>
    <row r="82" spans="12:15" x14ac:dyDescent="0.15">
      <c r="L82" s="7">
        <f t="shared" si="4"/>
        <v>0</v>
      </c>
      <c r="M82" s="7">
        <f t="shared" si="5"/>
        <v>1</v>
      </c>
      <c r="N82" s="7">
        <f t="shared" si="6"/>
        <v>0.5</v>
      </c>
      <c r="O82" s="7">
        <f t="shared" si="7"/>
        <v>-0.69314718055994529</v>
      </c>
    </row>
    <row r="83" spans="12:15" x14ac:dyDescent="0.15">
      <c r="L83" s="7">
        <f t="shared" si="4"/>
        <v>0</v>
      </c>
      <c r="M83" s="7">
        <f t="shared" si="5"/>
        <v>1</v>
      </c>
      <c r="N83" s="7">
        <f t="shared" si="6"/>
        <v>0.5</v>
      </c>
      <c r="O83" s="7">
        <f t="shared" si="7"/>
        <v>-0.69314718055994529</v>
      </c>
    </row>
    <row r="84" spans="12:15" x14ac:dyDescent="0.15">
      <c r="L84" s="7">
        <f t="shared" si="4"/>
        <v>0</v>
      </c>
      <c r="M84" s="7">
        <f t="shared" si="5"/>
        <v>1</v>
      </c>
      <c r="N84" s="7">
        <f t="shared" si="6"/>
        <v>0.5</v>
      </c>
      <c r="O84" s="7">
        <f t="shared" si="7"/>
        <v>-0.69314718055994529</v>
      </c>
    </row>
    <row r="85" spans="12:15" x14ac:dyDescent="0.15">
      <c r="L85" s="7">
        <f t="shared" si="4"/>
        <v>0</v>
      </c>
      <c r="M85" s="7">
        <f t="shared" si="5"/>
        <v>1</v>
      </c>
      <c r="N85" s="7">
        <f t="shared" si="6"/>
        <v>0.5</v>
      </c>
      <c r="O85" s="7">
        <f t="shared" si="7"/>
        <v>-0.69314718055994529</v>
      </c>
    </row>
    <row r="86" spans="12:15" x14ac:dyDescent="0.15">
      <c r="L86" s="7">
        <f t="shared" si="4"/>
        <v>0</v>
      </c>
      <c r="M86" s="7">
        <f t="shared" si="5"/>
        <v>1</v>
      </c>
      <c r="N86" s="7">
        <f t="shared" si="6"/>
        <v>0.5</v>
      </c>
      <c r="O86" s="7">
        <f t="shared" si="7"/>
        <v>-0.69314718055994529</v>
      </c>
    </row>
    <row r="87" spans="12:15" x14ac:dyDescent="0.15">
      <c r="L87" s="7">
        <f t="shared" si="4"/>
        <v>0</v>
      </c>
      <c r="M87" s="7">
        <f t="shared" si="5"/>
        <v>1</v>
      </c>
      <c r="N87" s="7">
        <f t="shared" si="6"/>
        <v>0.5</v>
      </c>
      <c r="O87" s="7">
        <f t="shared" si="7"/>
        <v>-0.69314718055994529</v>
      </c>
    </row>
    <row r="88" spans="12:15" x14ac:dyDescent="0.15">
      <c r="L88" s="7">
        <f t="shared" si="4"/>
        <v>0</v>
      </c>
      <c r="M88" s="7">
        <f t="shared" si="5"/>
        <v>1</v>
      </c>
      <c r="N88" s="7">
        <f t="shared" si="6"/>
        <v>0.5</v>
      </c>
      <c r="O88" s="7">
        <f t="shared" si="7"/>
        <v>-0.69314718055994529</v>
      </c>
    </row>
    <row r="89" spans="12:15" x14ac:dyDescent="0.15">
      <c r="L89" s="7">
        <f t="shared" si="4"/>
        <v>0</v>
      </c>
      <c r="M89" s="7">
        <f t="shared" si="5"/>
        <v>1</v>
      </c>
      <c r="N89" s="7">
        <f t="shared" si="6"/>
        <v>0.5</v>
      </c>
      <c r="O89" s="7">
        <f t="shared" si="7"/>
        <v>-0.69314718055994529</v>
      </c>
    </row>
    <row r="90" spans="12:15" x14ac:dyDescent="0.15">
      <c r="L90" s="7">
        <f t="shared" si="4"/>
        <v>0</v>
      </c>
      <c r="M90" s="7">
        <f t="shared" si="5"/>
        <v>1</v>
      </c>
      <c r="N90" s="7">
        <f t="shared" si="6"/>
        <v>0.5</v>
      </c>
      <c r="O90" s="7">
        <f t="shared" si="7"/>
        <v>-0.69314718055994529</v>
      </c>
    </row>
    <row r="91" spans="12:15" x14ac:dyDescent="0.15">
      <c r="L91" s="7">
        <f t="shared" si="4"/>
        <v>0</v>
      </c>
      <c r="M91" s="7">
        <f t="shared" si="5"/>
        <v>1</v>
      </c>
      <c r="N91" s="7">
        <f t="shared" si="6"/>
        <v>0.5</v>
      </c>
      <c r="O91" s="7">
        <f t="shared" si="7"/>
        <v>-0.69314718055994529</v>
      </c>
    </row>
    <row r="92" spans="12:15" x14ac:dyDescent="0.15">
      <c r="L92" s="7">
        <f t="shared" si="4"/>
        <v>0</v>
      </c>
      <c r="M92" s="7">
        <f t="shared" si="5"/>
        <v>1</v>
      </c>
      <c r="N92" s="7">
        <f t="shared" si="6"/>
        <v>0.5</v>
      </c>
      <c r="O92" s="7">
        <f t="shared" si="7"/>
        <v>-0.69314718055994529</v>
      </c>
    </row>
    <row r="93" spans="12:15" x14ac:dyDescent="0.15">
      <c r="L93" s="7">
        <f t="shared" si="4"/>
        <v>0</v>
      </c>
      <c r="M93" s="7">
        <f t="shared" si="5"/>
        <v>1</v>
      </c>
      <c r="N93" s="7">
        <f t="shared" si="6"/>
        <v>0.5</v>
      </c>
      <c r="O93" s="7">
        <f t="shared" si="7"/>
        <v>-0.69314718055994529</v>
      </c>
    </row>
    <row r="94" spans="12:15" x14ac:dyDescent="0.15">
      <c r="L94" s="7">
        <f t="shared" si="4"/>
        <v>0</v>
      </c>
      <c r="M94" s="7">
        <f t="shared" si="5"/>
        <v>1</v>
      </c>
      <c r="N94" s="7">
        <f t="shared" si="6"/>
        <v>0.5</v>
      </c>
      <c r="O94" s="7">
        <f t="shared" si="7"/>
        <v>-0.69314718055994529</v>
      </c>
    </row>
    <row r="95" spans="12:15" x14ac:dyDescent="0.15">
      <c r="L95" s="7">
        <f t="shared" si="4"/>
        <v>0</v>
      </c>
      <c r="M95" s="7">
        <f t="shared" si="5"/>
        <v>1</v>
      </c>
      <c r="N95" s="7">
        <f t="shared" si="6"/>
        <v>0.5</v>
      </c>
      <c r="O95" s="7">
        <f t="shared" si="7"/>
        <v>-0.69314718055994529</v>
      </c>
    </row>
    <row r="96" spans="12:15" x14ac:dyDescent="0.15">
      <c r="L96" s="7">
        <f t="shared" si="4"/>
        <v>0</v>
      </c>
      <c r="M96" s="7">
        <f t="shared" si="5"/>
        <v>1</v>
      </c>
      <c r="N96" s="7">
        <f t="shared" si="6"/>
        <v>0.5</v>
      </c>
      <c r="O96" s="7">
        <f t="shared" si="7"/>
        <v>-0.69314718055994529</v>
      </c>
    </row>
    <row r="97" spans="12:15" x14ac:dyDescent="0.15">
      <c r="L97" s="7">
        <f t="shared" si="4"/>
        <v>0</v>
      </c>
      <c r="M97" s="7">
        <f t="shared" si="5"/>
        <v>1</v>
      </c>
      <c r="N97" s="7">
        <f t="shared" si="6"/>
        <v>0.5</v>
      </c>
      <c r="O97" s="7">
        <f t="shared" si="7"/>
        <v>-0.69314718055994529</v>
      </c>
    </row>
    <row r="98" spans="12:15" x14ac:dyDescent="0.15">
      <c r="L98" s="7">
        <f t="shared" si="4"/>
        <v>0</v>
      </c>
      <c r="M98" s="7">
        <f t="shared" si="5"/>
        <v>1</v>
      </c>
      <c r="N98" s="7">
        <f t="shared" si="6"/>
        <v>0.5</v>
      </c>
      <c r="O98" s="7">
        <f t="shared" si="7"/>
        <v>-0.69314718055994529</v>
      </c>
    </row>
    <row r="99" spans="12:15" x14ac:dyDescent="0.15">
      <c r="L99" s="7">
        <f t="shared" si="4"/>
        <v>0</v>
      </c>
      <c r="M99" s="7">
        <f t="shared" si="5"/>
        <v>1</v>
      </c>
      <c r="N99" s="7">
        <f t="shared" si="6"/>
        <v>0.5</v>
      </c>
      <c r="O99" s="7">
        <f t="shared" si="7"/>
        <v>-0.69314718055994529</v>
      </c>
    </row>
    <row r="100" spans="12:15" x14ac:dyDescent="0.15">
      <c r="L100" s="7">
        <f t="shared" si="4"/>
        <v>0</v>
      </c>
      <c r="M100" s="7">
        <f t="shared" si="5"/>
        <v>1</v>
      </c>
      <c r="N100" s="7">
        <f t="shared" si="6"/>
        <v>0.5</v>
      </c>
      <c r="O100" s="7">
        <f t="shared" si="7"/>
        <v>-0.69314718055994529</v>
      </c>
    </row>
    <row r="101" spans="12:15" x14ac:dyDescent="0.15">
      <c r="L101" s="7">
        <f t="shared" si="4"/>
        <v>0</v>
      </c>
      <c r="M101" s="7">
        <f t="shared" si="5"/>
        <v>1</v>
      </c>
      <c r="N101" s="7">
        <f t="shared" si="6"/>
        <v>0.5</v>
      </c>
      <c r="O101" s="7">
        <f t="shared" si="7"/>
        <v>-0.69314718055994529</v>
      </c>
    </row>
    <row r="102" spans="12:15" x14ac:dyDescent="0.15">
      <c r="L102" s="7">
        <f t="shared" si="4"/>
        <v>0</v>
      </c>
      <c r="M102" s="7">
        <f t="shared" si="5"/>
        <v>1</v>
      </c>
      <c r="N102" s="7">
        <f t="shared" si="6"/>
        <v>0.5</v>
      </c>
      <c r="O102" s="7">
        <f t="shared" si="7"/>
        <v>-0.69314718055994529</v>
      </c>
    </row>
    <row r="103" spans="12:15" x14ac:dyDescent="0.15">
      <c r="L103" s="7">
        <f t="shared" si="4"/>
        <v>0</v>
      </c>
      <c r="M103" s="7">
        <f t="shared" si="5"/>
        <v>1</v>
      </c>
      <c r="N103" s="7">
        <f t="shared" si="6"/>
        <v>0.5</v>
      </c>
      <c r="O103" s="7">
        <f t="shared" si="7"/>
        <v>-0.69314718055994529</v>
      </c>
    </row>
    <row r="104" spans="12:15" x14ac:dyDescent="0.15">
      <c r="L104" s="7">
        <f t="shared" si="4"/>
        <v>0</v>
      </c>
      <c r="M104" s="7">
        <f t="shared" si="5"/>
        <v>1</v>
      </c>
      <c r="N104" s="7">
        <f t="shared" si="6"/>
        <v>0.5</v>
      </c>
      <c r="O104" s="7">
        <f t="shared" si="7"/>
        <v>-0.69314718055994529</v>
      </c>
    </row>
    <row r="105" spans="12:15" x14ac:dyDescent="0.15">
      <c r="L105" s="7">
        <f t="shared" si="4"/>
        <v>0</v>
      </c>
      <c r="M105" s="7">
        <f t="shared" si="5"/>
        <v>1</v>
      </c>
      <c r="N105" s="7">
        <f t="shared" si="6"/>
        <v>0.5</v>
      </c>
      <c r="O105" s="7">
        <f t="shared" si="7"/>
        <v>-0.69314718055994529</v>
      </c>
    </row>
    <row r="106" spans="12:15" x14ac:dyDescent="0.15">
      <c r="L106" s="7">
        <f t="shared" si="4"/>
        <v>0</v>
      </c>
      <c r="M106" s="7">
        <f t="shared" si="5"/>
        <v>1</v>
      </c>
      <c r="N106" s="7">
        <f t="shared" si="6"/>
        <v>0.5</v>
      </c>
      <c r="O106" s="7">
        <f t="shared" si="7"/>
        <v>-0.69314718055994529</v>
      </c>
    </row>
    <row r="107" spans="12:15" x14ac:dyDescent="0.15">
      <c r="L107" s="7">
        <f t="shared" si="4"/>
        <v>0</v>
      </c>
      <c r="M107" s="7">
        <f t="shared" si="5"/>
        <v>1</v>
      </c>
      <c r="N107" s="7">
        <f t="shared" si="6"/>
        <v>0.5</v>
      </c>
      <c r="O107" s="7">
        <f t="shared" si="7"/>
        <v>-0.69314718055994529</v>
      </c>
    </row>
    <row r="108" spans="12:15" x14ac:dyDescent="0.15">
      <c r="L108" s="7">
        <f t="shared" si="4"/>
        <v>0</v>
      </c>
      <c r="M108" s="7">
        <f t="shared" si="5"/>
        <v>1</v>
      </c>
      <c r="N108" s="7">
        <f t="shared" si="6"/>
        <v>0.5</v>
      </c>
      <c r="O108" s="7">
        <f t="shared" si="7"/>
        <v>-0.69314718055994529</v>
      </c>
    </row>
    <row r="109" spans="12:15" x14ac:dyDescent="0.15">
      <c r="L109" s="7">
        <f t="shared" si="4"/>
        <v>0</v>
      </c>
      <c r="M109" s="7">
        <f t="shared" si="5"/>
        <v>1</v>
      </c>
      <c r="N109" s="7">
        <f t="shared" si="6"/>
        <v>0.5</v>
      </c>
      <c r="O109" s="7">
        <f t="shared" si="7"/>
        <v>-0.69314718055994529</v>
      </c>
    </row>
    <row r="110" spans="12:15" x14ac:dyDescent="0.15">
      <c r="L110" s="7">
        <f t="shared" si="4"/>
        <v>0</v>
      </c>
      <c r="M110" s="7">
        <f t="shared" si="5"/>
        <v>1</v>
      </c>
      <c r="N110" s="7">
        <f t="shared" si="6"/>
        <v>0.5</v>
      </c>
      <c r="O110" s="7">
        <f t="shared" si="7"/>
        <v>-0.69314718055994529</v>
      </c>
    </row>
    <row r="111" spans="12:15" x14ac:dyDescent="0.15">
      <c r="L111" s="7">
        <f t="shared" si="4"/>
        <v>0</v>
      </c>
      <c r="M111" s="7">
        <f t="shared" si="5"/>
        <v>1</v>
      </c>
      <c r="N111" s="7">
        <f t="shared" si="6"/>
        <v>0.5</v>
      </c>
      <c r="O111" s="7">
        <f t="shared" si="7"/>
        <v>-0.69314718055994529</v>
      </c>
    </row>
    <row r="112" spans="12:15" x14ac:dyDescent="0.15">
      <c r="L112" s="7">
        <f t="shared" si="4"/>
        <v>0</v>
      </c>
      <c r="M112" s="7">
        <f t="shared" si="5"/>
        <v>1</v>
      </c>
      <c r="N112" s="7">
        <f t="shared" si="6"/>
        <v>0.5</v>
      </c>
      <c r="O112" s="7">
        <f t="shared" si="7"/>
        <v>-0.69314718055994529</v>
      </c>
    </row>
    <row r="113" spans="12:15" x14ac:dyDescent="0.15">
      <c r="L113" s="7">
        <f t="shared" si="4"/>
        <v>0</v>
      </c>
      <c r="M113" s="7">
        <f t="shared" si="5"/>
        <v>1</v>
      </c>
      <c r="N113" s="7">
        <f t="shared" si="6"/>
        <v>0.5</v>
      </c>
      <c r="O113" s="7">
        <f t="shared" si="7"/>
        <v>-0.69314718055994529</v>
      </c>
    </row>
    <row r="114" spans="12:15" x14ac:dyDescent="0.15">
      <c r="L114" s="7">
        <f t="shared" si="4"/>
        <v>0</v>
      </c>
      <c r="M114" s="7">
        <f t="shared" si="5"/>
        <v>1</v>
      </c>
      <c r="N114" s="7">
        <f t="shared" si="6"/>
        <v>0.5</v>
      </c>
      <c r="O114" s="7">
        <f t="shared" si="7"/>
        <v>-0.69314718055994529</v>
      </c>
    </row>
    <row r="115" spans="12:15" x14ac:dyDescent="0.15">
      <c r="L115" s="7">
        <f t="shared" si="4"/>
        <v>0</v>
      </c>
      <c r="M115" s="7">
        <f t="shared" si="5"/>
        <v>1</v>
      </c>
      <c r="N115" s="7">
        <f t="shared" si="6"/>
        <v>0.5</v>
      </c>
      <c r="O115" s="7">
        <f t="shared" si="7"/>
        <v>-0.69314718055994529</v>
      </c>
    </row>
    <row r="116" spans="12:15" x14ac:dyDescent="0.15">
      <c r="L116" s="7">
        <f t="shared" si="4"/>
        <v>0</v>
      </c>
      <c r="M116" s="7">
        <f t="shared" si="5"/>
        <v>1</v>
      </c>
      <c r="N116" s="7">
        <f t="shared" si="6"/>
        <v>0.5</v>
      </c>
      <c r="O116" s="7">
        <f t="shared" si="7"/>
        <v>-0.69314718055994529</v>
      </c>
    </row>
    <row r="117" spans="12:15" x14ac:dyDescent="0.15">
      <c r="L117" s="7">
        <f t="shared" si="4"/>
        <v>0</v>
      </c>
      <c r="M117" s="7">
        <f t="shared" si="5"/>
        <v>1</v>
      </c>
      <c r="N117" s="7">
        <f t="shared" si="6"/>
        <v>0.5</v>
      </c>
      <c r="O117" s="7">
        <f t="shared" si="7"/>
        <v>-0.69314718055994529</v>
      </c>
    </row>
    <row r="118" spans="12:15" x14ac:dyDescent="0.15">
      <c r="L118" s="7">
        <f t="shared" si="4"/>
        <v>0</v>
      </c>
      <c r="M118" s="7">
        <f t="shared" si="5"/>
        <v>1</v>
      </c>
      <c r="N118" s="7">
        <f t="shared" si="6"/>
        <v>0.5</v>
      </c>
      <c r="O118" s="7">
        <f t="shared" si="7"/>
        <v>-0.69314718055994529</v>
      </c>
    </row>
    <row r="119" spans="12:15" x14ac:dyDescent="0.15">
      <c r="L119" s="7">
        <f t="shared" si="4"/>
        <v>0</v>
      </c>
      <c r="M119" s="7">
        <f t="shared" si="5"/>
        <v>1</v>
      </c>
      <c r="N119" s="7">
        <f t="shared" si="6"/>
        <v>0.5</v>
      </c>
      <c r="O119" s="7">
        <f t="shared" si="7"/>
        <v>-0.69314718055994529</v>
      </c>
    </row>
    <row r="120" spans="12:15" x14ac:dyDescent="0.15">
      <c r="L120" s="7">
        <f t="shared" si="4"/>
        <v>0</v>
      </c>
      <c r="M120" s="7">
        <f t="shared" si="5"/>
        <v>1</v>
      </c>
      <c r="N120" s="7">
        <f t="shared" si="6"/>
        <v>0.5</v>
      </c>
      <c r="O120" s="7">
        <f t="shared" si="7"/>
        <v>-0.69314718055994529</v>
      </c>
    </row>
    <row r="121" spans="12:15" x14ac:dyDescent="0.15">
      <c r="L121" s="7">
        <f t="shared" si="4"/>
        <v>0</v>
      </c>
      <c r="M121" s="7">
        <f t="shared" si="5"/>
        <v>1</v>
      </c>
      <c r="N121" s="7">
        <f t="shared" si="6"/>
        <v>0.5</v>
      </c>
      <c r="O121" s="7">
        <f t="shared" si="7"/>
        <v>-0.69314718055994529</v>
      </c>
    </row>
    <row r="122" spans="12:15" x14ac:dyDescent="0.15">
      <c r="L122" s="7">
        <f t="shared" si="4"/>
        <v>0</v>
      </c>
      <c r="M122" s="7">
        <f t="shared" si="5"/>
        <v>1</v>
      </c>
      <c r="N122" s="7">
        <f t="shared" si="6"/>
        <v>0.5</v>
      </c>
      <c r="O122" s="7">
        <f t="shared" si="7"/>
        <v>-0.69314718055994529</v>
      </c>
    </row>
    <row r="123" spans="12:15" x14ac:dyDescent="0.15">
      <c r="L123" s="7">
        <f t="shared" si="4"/>
        <v>0</v>
      </c>
      <c r="M123" s="7">
        <f t="shared" si="5"/>
        <v>1</v>
      </c>
      <c r="N123" s="7">
        <f t="shared" si="6"/>
        <v>0.5</v>
      </c>
      <c r="O123" s="7">
        <f t="shared" si="7"/>
        <v>-0.69314718055994529</v>
      </c>
    </row>
    <row r="124" spans="12:15" x14ac:dyDescent="0.15">
      <c r="L124" s="7">
        <f t="shared" si="4"/>
        <v>0</v>
      </c>
      <c r="M124" s="7">
        <f t="shared" si="5"/>
        <v>1</v>
      </c>
      <c r="N124" s="7">
        <f t="shared" si="6"/>
        <v>0.5</v>
      </c>
      <c r="O124" s="7">
        <f t="shared" si="7"/>
        <v>-0.69314718055994529</v>
      </c>
    </row>
    <row r="125" spans="12:15" x14ac:dyDescent="0.15">
      <c r="L125" s="7">
        <f t="shared" si="4"/>
        <v>0</v>
      </c>
      <c r="M125" s="7">
        <f t="shared" si="5"/>
        <v>1</v>
      </c>
      <c r="N125" s="7">
        <f t="shared" si="6"/>
        <v>0.5</v>
      </c>
      <c r="O125" s="7">
        <f t="shared" si="7"/>
        <v>-0.69314718055994529</v>
      </c>
    </row>
    <row r="126" spans="12:15" x14ac:dyDescent="0.15">
      <c r="L126" s="7">
        <f t="shared" si="4"/>
        <v>0</v>
      </c>
      <c r="M126" s="7">
        <f t="shared" si="5"/>
        <v>1</v>
      </c>
      <c r="N126" s="7">
        <f t="shared" si="6"/>
        <v>0.5</v>
      </c>
      <c r="O126" s="7">
        <f t="shared" si="7"/>
        <v>-0.69314718055994529</v>
      </c>
    </row>
    <row r="127" spans="12:15" x14ac:dyDescent="0.15">
      <c r="L127" s="7">
        <f t="shared" si="4"/>
        <v>0</v>
      </c>
      <c r="M127" s="7">
        <f t="shared" si="5"/>
        <v>1</v>
      </c>
      <c r="N127" s="7">
        <f t="shared" si="6"/>
        <v>0.5</v>
      </c>
      <c r="O127" s="7">
        <f t="shared" si="7"/>
        <v>-0.69314718055994529</v>
      </c>
    </row>
    <row r="128" spans="12:15" x14ac:dyDescent="0.15">
      <c r="L128" s="7">
        <f t="shared" si="4"/>
        <v>0</v>
      </c>
      <c r="M128" s="7">
        <f t="shared" si="5"/>
        <v>1</v>
      </c>
      <c r="N128" s="7">
        <f t="shared" si="6"/>
        <v>0.5</v>
      </c>
      <c r="O128" s="7">
        <f t="shared" si="7"/>
        <v>-0.69314718055994529</v>
      </c>
    </row>
    <row r="129" spans="12:15" x14ac:dyDescent="0.15">
      <c r="L129" s="7">
        <f t="shared" si="4"/>
        <v>0</v>
      </c>
      <c r="M129" s="7">
        <f t="shared" si="5"/>
        <v>1</v>
      </c>
      <c r="N129" s="7">
        <f t="shared" si="6"/>
        <v>0.5</v>
      </c>
      <c r="O129" s="7">
        <f t="shared" si="7"/>
        <v>-0.69314718055994529</v>
      </c>
    </row>
    <row r="130" spans="12:15" x14ac:dyDescent="0.15">
      <c r="L130" s="7">
        <f t="shared" si="4"/>
        <v>0</v>
      </c>
      <c r="M130" s="7">
        <f t="shared" si="5"/>
        <v>1</v>
      </c>
      <c r="N130" s="7">
        <f t="shared" si="6"/>
        <v>0.5</v>
      </c>
      <c r="O130" s="7">
        <f t="shared" si="7"/>
        <v>-0.69314718055994529</v>
      </c>
    </row>
    <row r="131" spans="12:15" x14ac:dyDescent="0.15">
      <c r="L131" s="7">
        <f t="shared" ref="L131:L194" si="8">$Q$1 + $Q$2*B131+$Q$3*C131+ $Q$4*D131+$Q$5*E131+$Q$6*F131+$Q$7*G131+H131*$Q$8+I131*$Q$9+J131*$Q$10+K131*$Q$11</f>
        <v>0</v>
      </c>
      <c r="M131" s="7">
        <f t="shared" ref="M131:M194" si="9">EXP(L131)</f>
        <v>1</v>
      </c>
      <c r="N131" s="7">
        <f t="shared" ref="N131:N194" si="10">1/(1+M131)</f>
        <v>0.5</v>
      </c>
      <c r="O131" s="7">
        <f t="shared" ref="O131:O194" si="11">A131*LN(N131)+(1-A131)*LN(1-N131)</f>
        <v>-0.69314718055994529</v>
      </c>
    </row>
    <row r="132" spans="12:15" x14ac:dyDescent="0.15">
      <c r="L132" s="7">
        <f t="shared" si="8"/>
        <v>0</v>
      </c>
      <c r="M132" s="7">
        <f t="shared" si="9"/>
        <v>1</v>
      </c>
      <c r="N132" s="7">
        <f t="shared" si="10"/>
        <v>0.5</v>
      </c>
      <c r="O132" s="7">
        <f t="shared" si="11"/>
        <v>-0.69314718055994529</v>
      </c>
    </row>
    <row r="133" spans="12:15" x14ac:dyDescent="0.15">
      <c r="L133" s="7">
        <f t="shared" si="8"/>
        <v>0</v>
      </c>
      <c r="M133" s="7">
        <f t="shared" si="9"/>
        <v>1</v>
      </c>
      <c r="N133" s="7">
        <f t="shared" si="10"/>
        <v>0.5</v>
      </c>
      <c r="O133" s="7">
        <f t="shared" si="11"/>
        <v>-0.69314718055994529</v>
      </c>
    </row>
    <row r="134" spans="12:15" x14ac:dyDescent="0.15">
      <c r="L134" s="7">
        <f t="shared" si="8"/>
        <v>0</v>
      </c>
      <c r="M134" s="7">
        <f t="shared" si="9"/>
        <v>1</v>
      </c>
      <c r="N134" s="7">
        <f t="shared" si="10"/>
        <v>0.5</v>
      </c>
      <c r="O134" s="7">
        <f t="shared" si="11"/>
        <v>-0.69314718055994529</v>
      </c>
    </row>
    <row r="135" spans="12:15" x14ac:dyDescent="0.15">
      <c r="L135" s="7">
        <f t="shared" si="8"/>
        <v>0</v>
      </c>
      <c r="M135" s="7">
        <f t="shared" si="9"/>
        <v>1</v>
      </c>
      <c r="N135" s="7">
        <f t="shared" si="10"/>
        <v>0.5</v>
      </c>
      <c r="O135" s="7">
        <f t="shared" si="11"/>
        <v>-0.69314718055994529</v>
      </c>
    </row>
    <row r="136" spans="12:15" x14ac:dyDescent="0.15">
      <c r="L136" s="7">
        <f t="shared" si="8"/>
        <v>0</v>
      </c>
      <c r="M136" s="7">
        <f t="shared" si="9"/>
        <v>1</v>
      </c>
      <c r="N136" s="7">
        <f t="shared" si="10"/>
        <v>0.5</v>
      </c>
      <c r="O136" s="7">
        <f t="shared" si="11"/>
        <v>-0.69314718055994529</v>
      </c>
    </row>
    <row r="137" spans="12:15" x14ac:dyDescent="0.15">
      <c r="L137" s="7">
        <f t="shared" si="8"/>
        <v>0</v>
      </c>
      <c r="M137" s="7">
        <f t="shared" si="9"/>
        <v>1</v>
      </c>
      <c r="N137" s="7">
        <f t="shared" si="10"/>
        <v>0.5</v>
      </c>
      <c r="O137" s="7">
        <f t="shared" si="11"/>
        <v>-0.69314718055994529</v>
      </c>
    </row>
    <row r="138" spans="12:15" x14ac:dyDescent="0.15">
      <c r="L138" s="7">
        <f t="shared" si="8"/>
        <v>0</v>
      </c>
      <c r="M138" s="7">
        <f t="shared" si="9"/>
        <v>1</v>
      </c>
      <c r="N138" s="7">
        <f t="shared" si="10"/>
        <v>0.5</v>
      </c>
      <c r="O138" s="7">
        <f t="shared" si="11"/>
        <v>-0.69314718055994529</v>
      </c>
    </row>
    <row r="139" spans="12:15" x14ac:dyDescent="0.15">
      <c r="L139" s="7">
        <f t="shared" si="8"/>
        <v>0</v>
      </c>
      <c r="M139" s="7">
        <f t="shared" si="9"/>
        <v>1</v>
      </c>
      <c r="N139" s="7">
        <f t="shared" si="10"/>
        <v>0.5</v>
      </c>
      <c r="O139" s="7">
        <f t="shared" si="11"/>
        <v>-0.69314718055994529</v>
      </c>
    </row>
    <row r="140" spans="12:15" x14ac:dyDescent="0.15">
      <c r="L140" s="7">
        <f t="shared" si="8"/>
        <v>0</v>
      </c>
      <c r="M140" s="7">
        <f t="shared" si="9"/>
        <v>1</v>
      </c>
      <c r="N140" s="7">
        <f t="shared" si="10"/>
        <v>0.5</v>
      </c>
      <c r="O140" s="7">
        <f t="shared" si="11"/>
        <v>-0.69314718055994529</v>
      </c>
    </row>
    <row r="141" spans="12:15" x14ac:dyDescent="0.15">
      <c r="L141" s="7">
        <f t="shared" si="8"/>
        <v>0</v>
      </c>
      <c r="M141" s="7">
        <f t="shared" si="9"/>
        <v>1</v>
      </c>
      <c r="N141" s="7">
        <f t="shared" si="10"/>
        <v>0.5</v>
      </c>
      <c r="O141" s="7">
        <f t="shared" si="11"/>
        <v>-0.69314718055994529</v>
      </c>
    </row>
    <row r="142" spans="12:15" x14ac:dyDescent="0.15">
      <c r="L142" s="7">
        <f t="shared" si="8"/>
        <v>0</v>
      </c>
      <c r="M142" s="7">
        <f t="shared" si="9"/>
        <v>1</v>
      </c>
      <c r="N142" s="7">
        <f t="shared" si="10"/>
        <v>0.5</v>
      </c>
      <c r="O142" s="7">
        <f t="shared" si="11"/>
        <v>-0.69314718055994529</v>
      </c>
    </row>
    <row r="143" spans="12:15" x14ac:dyDescent="0.15">
      <c r="L143" s="7">
        <f t="shared" si="8"/>
        <v>0</v>
      </c>
      <c r="M143" s="7">
        <f t="shared" si="9"/>
        <v>1</v>
      </c>
      <c r="N143" s="7">
        <f t="shared" si="10"/>
        <v>0.5</v>
      </c>
      <c r="O143" s="7">
        <f t="shared" si="11"/>
        <v>-0.69314718055994529</v>
      </c>
    </row>
    <row r="144" spans="12:15" x14ac:dyDescent="0.15">
      <c r="L144" s="7">
        <f t="shared" si="8"/>
        <v>0</v>
      </c>
      <c r="M144" s="7">
        <f t="shared" si="9"/>
        <v>1</v>
      </c>
      <c r="N144" s="7">
        <f t="shared" si="10"/>
        <v>0.5</v>
      </c>
      <c r="O144" s="7">
        <f t="shared" si="11"/>
        <v>-0.69314718055994529</v>
      </c>
    </row>
    <row r="145" spans="12:15" x14ac:dyDescent="0.15">
      <c r="L145" s="7">
        <f t="shared" si="8"/>
        <v>0</v>
      </c>
      <c r="M145" s="7">
        <f t="shared" si="9"/>
        <v>1</v>
      </c>
      <c r="N145" s="7">
        <f t="shared" si="10"/>
        <v>0.5</v>
      </c>
      <c r="O145" s="7">
        <f t="shared" si="11"/>
        <v>-0.69314718055994529</v>
      </c>
    </row>
    <row r="146" spans="12:15" x14ac:dyDescent="0.15">
      <c r="L146" s="7">
        <f t="shared" si="8"/>
        <v>0</v>
      </c>
      <c r="M146" s="7">
        <f t="shared" si="9"/>
        <v>1</v>
      </c>
      <c r="N146" s="7">
        <f t="shared" si="10"/>
        <v>0.5</v>
      </c>
      <c r="O146" s="7">
        <f t="shared" si="11"/>
        <v>-0.69314718055994529</v>
      </c>
    </row>
    <row r="147" spans="12:15" x14ac:dyDescent="0.15">
      <c r="L147" s="7">
        <f t="shared" si="8"/>
        <v>0</v>
      </c>
      <c r="M147" s="7">
        <f t="shared" si="9"/>
        <v>1</v>
      </c>
      <c r="N147" s="7">
        <f t="shared" si="10"/>
        <v>0.5</v>
      </c>
      <c r="O147" s="7">
        <f t="shared" si="11"/>
        <v>-0.69314718055994529</v>
      </c>
    </row>
    <row r="148" spans="12:15" x14ac:dyDescent="0.15">
      <c r="L148" s="7">
        <f t="shared" si="8"/>
        <v>0</v>
      </c>
      <c r="M148" s="7">
        <f t="shared" si="9"/>
        <v>1</v>
      </c>
      <c r="N148" s="7">
        <f t="shared" si="10"/>
        <v>0.5</v>
      </c>
      <c r="O148" s="7">
        <f t="shared" si="11"/>
        <v>-0.69314718055994529</v>
      </c>
    </row>
    <row r="149" spans="12:15" x14ac:dyDescent="0.15">
      <c r="L149" s="7">
        <f t="shared" si="8"/>
        <v>0</v>
      </c>
      <c r="M149" s="7">
        <f t="shared" si="9"/>
        <v>1</v>
      </c>
      <c r="N149" s="7">
        <f t="shared" si="10"/>
        <v>0.5</v>
      </c>
      <c r="O149" s="7">
        <f t="shared" si="11"/>
        <v>-0.69314718055994529</v>
      </c>
    </row>
    <row r="150" spans="12:15" x14ac:dyDescent="0.15">
      <c r="L150" s="7">
        <f t="shared" si="8"/>
        <v>0</v>
      </c>
      <c r="M150" s="7">
        <f t="shared" si="9"/>
        <v>1</v>
      </c>
      <c r="N150" s="7">
        <f t="shared" si="10"/>
        <v>0.5</v>
      </c>
      <c r="O150" s="7">
        <f t="shared" si="11"/>
        <v>-0.69314718055994529</v>
      </c>
    </row>
    <row r="151" spans="12:15" x14ac:dyDescent="0.15">
      <c r="L151" s="7">
        <f t="shared" si="8"/>
        <v>0</v>
      </c>
      <c r="M151" s="7">
        <f t="shared" si="9"/>
        <v>1</v>
      </c>
      <c r="N151" s="7">
        <f t="shared" si="10"/>
        <v>0.5</v>
      </c>
      <c r="O151" s="7">
        <f t="shared" si="11"/>
        <v>-0.69314718055994529</v>
      </c>
    </row>
    <row r="152" spans="12:15" x14ac:dyDescent="0.15">
      <c r="L152" s="7">
        <f t="shared" si="8"/>
        <v>0</v>
      </c>
      <c r="M152" s="7">
        <f t="shared" si="9"/>
        <v>1</v>
      </c>
      <c r="N152" s="7">
        <f t="shared" si="10"/>
        <v>0.5</v>
      </c>
      <c r="O152" s="7">
        <f t="shared" si="11"/>
        <v>-0.69314718055994529</v>
      </c>
    </row>
    <row r="153" spans="12:15" x14ac:dyDescent="0.15">
      <c r="L153" s="7">
        <f t="shared" si="8"/>
        <v>0</v>
      </c>
      <c r="M153" s="7">
        <f t="shared" si="9"/>
        <v>1</v>
      </c>
      <c r="N153" s="7">
        <f t="shared" si="10"/>
        <v>0.5</v>
      </c>
      <c r="O153" s="7">
        <f t="shared" si="11"/>
        <v>-0.69314718055994529</v>
      </c>
    </row>
    <row r="154" spans="12:15" x14ac:dyDescent="0.15">
      <c r="L154" s="7">
        <f t="shared" si="8"/>
        <v>0</v>
      </c>
      <c r="M154" s="7">
        <f t="shared" si="9"/>
        <v>1</v>
      </c>
      <c r="N154" s="7">
        <f t="shared" si="10"/>
        <v>0.5</v>
      </c>
      <c r="O154" s="7">
        <f t="shared" si="11"/>
        <v>-0.69314718055994529</v>
      </c>
    </row>
    <row r="155" spans="12:15" x14ac:dyDescent="0.15">
      <c r="L155" s="7">
        <f t="shared" si="8"/>
        <v>0</v>
      </c>
      <c r="M155" s="7">
        <f t="shared" si="9"/>
        <v>1</v>
      </c>
      <c r="N155" s="7">
        <f t="shared" si="10"/>
        <v>0.5</v>
      </c>
      <c r="O155" s="7">
        <f t="shared" si="11"/>
        <v>-0.69314718055994529</v>
      </c>
    </row>
    <row r="156" spans="12:15" x14ac:dyDescent="0.15">
      <c r="L156" s="7">
        <f t="shared" si="8"/>
        <v>0</v>
      </c>
      <c r="M156" s="7">
        <f t="shared" si="9"/>
        <v>1</v>
      </c>
      <c r="N156" s="7">
        <f t="shared" si="10"/>
        <v>0.5</v>
      </c>
      <c r="O156" s="7">
        <f t="shared" si="11"/>
        <v>-0.69314718055994529</v>
      </c>
    </row>
    <row r="157" spans="12:15" x14ac:dyDescent="0.15">
      <c r="L157" s="7">
        <f t="shared" si="8"/>
        <v>0</v>
      </c>
      <c r="M157" s="7">
        <f t="shared" si="9"/>
        <v>1</v>
      </c>
      <c r="N157" s="7">
        <f t="shared" si="10"/>
        <v>0.5</v>
      </c>
      <c r="O157" s="7">
        <f t="shared" si="11"/>
        <v>-0.69314718055994529</v>
      </c>
    </row>
    <row r="158" spans="12:15" x14ac:dyDescent="0.15">
      <c r="L158" s="7">
        <f t="shared" si="8"/>
        <v>0</v>
      </c>
      <c r="M158" s="7">
        <f t="shared" si="9"/>
        <v>1</v>
      </c>
      <c r="N158" s="7">
        <f t="shared" si="10"/>
        <v>0.5</v>
      </c>
      <c r="O158" s="7">
        <f t="shared" si="11"/>
        <v>-0.69314718055994529</v>
      </c>
    </row>
    <row r="159" spans="12:15" x14ac:dyDescent="0.15">
      <c r="L159" s="7">
        <f t="shared" si="8"/>
        <v>0</v>
      </c>
      <c r="M159" s="7">
        <f t="shared" si="9"/>
        <v>1</v>
      </c>
      <c r="N159" s="7">
        <f t="shared" si="10"/>
        <v>0.5</v>
      </c>
      <c r="O159" s="7">
        <f t="shared" si="11"/>
        <v>-0.69314718055994529</v>
      </c>
    </row>
    <row r="160" spans="12:15" x14ac:dyDescent="0.15">
      <c r="L160" s="7">
        <f t="shared" si="8"/>
        <v>0</v>
      </c>
      <c r="M160" s="7">
        <f t="shared" si="9"/>
        <v>1</v>
      </c>
      <c r="N160" s="7">
        <f t="shared" si="10"/>
        <v>0.5</v>
      </c>
      <c r="O160" s="7">
        <f t="shared" si="11"/>
        <v>-0.69314718055994529</v>
      </c>
    </row>
    <row r="161" spans="12:15" x14ac:dyDescent="0.15">
      <c r="L161" s="7">
        <f t="shared" si="8"/>
        <v>0</v>
      </c>
      <c r="M161" s="7">
        <f t="shared" si="9"/>
        <v>1</v>
      </c>
      <c r="N161" s="7">
        <f t="shared" si="10"/>
        <v>0.5</v>
      </c>
      <c r="O161" s="7">
        <f t="shared" si="11"/>
        <v>-0.69314718055994529</v>
      </c>
    </row>
    <row r="162" spans="12:15" x14ac:dyDescent="0.15">
      <c r="L162" s="7">
        <f t="shared" si="8"/>
        <v>0</v>
      </c>
      <c r="M162" s="7">
        <f t="shared" si="9"/>
        <v>1</v>
      </c>
      <c r="N162" s="7">
        <f t="shared" si="10"/>
        <v>0.5</v>
      </c>
      <c r="O162" s="7">
        <f t="shared" si="11"/>
        <v>-0.69314718055994529</v>
      </c>
    </row>
    <row r="163" spans="12:15" x14ac:dyDescent="0.15">
      <c r="L163" s="7">
        <f t="shared" si="8"/>
        <v>0</v>
      </c>
      <c r="M163" s="7">
        <f t="shared" si="9"/>
        <v>1</v>
      </c>
      <c r="N163" s="7">
        <f t="shared" si="10"/>
        <v>0.5</v>
      </c>
      <c r="O163" s="7">
        <f t="shared" si="11"/>
        <v>-0.69314718055994529</v>
      </c>
    </row>
    <row r="164" spans="12:15" x14ac:dyDescent="0.15">
      <c r="L164" s="7">
        <f t="shared" si="8"/>
        <v>0</v>
      </c>
      <c r="M164" s="7">
        <f t="shared" si="9"/>
        <v>1</v>
      </c>
      <c r="N164" s="7">
        <f t="shared" si="10"/>
        <v>0.5</v>
      </c>
      <c r="O164" s="7">
        <f t="shared" si="11"/>
        <v>-0.69314718055994529</v>
      </c>
    </row>
    <row r="165" spans="12:15" x14ac:dyDescent="0.15">
      <c r="L165" s="7">
        <f t="shared" si="8"/>
        <v>0</v>
      </c>
      <c r="M165" s="7">
        <f t="shared" si="9"/>
        <v>1</v>
      </c>
      <c r="N165" s="7">
        <f t="shared" si="10"/>
        <v>0.5</v>
      </c>
      <c r="O165" s="7">
        <f t="shared" si="11"/>
        <v>-0.69314718055994529</v>
      </c>
    </row>
    <row r="166" spans="12:15" x14ac:dyDescent="0.15">
      <c r="L166" s="7">
        <f t="shared" si="8"/>
        <v>0</v>
      </c>
      <c r="M166" s="7">
        <f t="shared" si="9"/>
        <v>1</v>
      </c>
      <c r="N166" s="7">
        <f t="shared" si="10"/>
        <v>0.5</v>
      </c>
      <c r="O166" s="7">
        <f t="shared" si="11"/>
        <v>-0.69314718055994529</v>
      </c>
    </row>
    <row r="167" spans="12:15" x14ac:dyDescent="0.15">
      <c r="L167" s="7">
        <f t="shared" si="8"/>
        <v>0</v>
      </c>
      <c r="M167" s="7">
        <f t="shared" si="9"/>
        <v>1</v>
      </c>
      <c r="N167" s="7">
        <f t="shared" si="10"/>
        <v>0.5</v>
      </c>
      <c r="O167" s="7">
        <f t="shared" si="11"/>
        <v>-0.69314718055994529</v>
      </c>
    </row>
    <row r="168" spans="12:15" x14ac:dyDescent="0.15">
      <c r="L168" s="7">
        <f t="shared" si="8"/>
        <v>0</v>
      </c>
      <c r="M168" s="7">
        <f t="shared" si="9"/>
        <v>1</v>
      </c>
      <c r="N168" s="7">
        <f t="shared" si="10"/>
        <v>0.5</v>
      </c>
      <c r="O168" s="7">
        <f t="shared" si="11"/>
        <v>-0.69314718055994529</v>
      </c>
    </row>
    <row r="169" spans="12:15" x14ac:dyDescent="0.15">
      <c r="L169" s="7">
        <f t="shared" si="8"/>
        <v>0</v>
      </c>
      <c r="M169" s="7">
        <f t="shared" si="9"/>
        <v>1</v>
      </c>
      <c r="N169" s="7">
        <f t="shared" si="10"/>
        <v>0.5</v>
      </c>
      <c r="O169" s="7">
        <f t="shared" si="11"/>
        <v>-0.69314718055994529</v>
      </c>
    </row>
    <row r="170" spans="12:15" x14ac:dyDescent="0.15">
      <c r="L170" s="7">
        <f t="shared" si="8"/>
        <v>0</v>
      </c>
      <c r="M170" s="7">
        <f t="shared" si="9"/>
        <v>1</v>
      </c>
      <c r="N170" s="7">
        <f t="shared" si="10"/>
        <v>0.5</v>
      </c>
      <c r="O170" s="7">
        <f t="shared" si="11"/>
        <v>-0.69314718055994529</v>
      </c>
    </row>
    <row r="171" spans="12:15" x14ac:dyDescent="0.15">
      <c r="L171" s="7">
        <f t="shared" si="8"/>
        <v>0</v>
      </c>
      <c r="M171" s="7">
        <f t="shared" si="9"/>
        <v>1</v>
      </c>
      <c r="N171" s="7">
        <f t="shared" si="10"/>
        <v>0.5</v>
      </c>
      <c r="O171" s="7">
        <f t="shared" si="11"/>
        <v>-0.69314718055994529</v>
      </c>
    </row>
    <row r="172" spans="12:15" x14ac:dyDescent="0.15">
      <c r="L172" s="7">
        <f t="shared" si="8"/>
        <v>0</v>
      </c>
      <c r="M172" s="7">
        <f t="shared" si="9"/>
        <v>1</v>
      </c>
      <c r="N172" s="7">
        <f t="shared" si="10"/>
        <v>0.5</v>
      </c>
      <c r="O172" s="7">
        <f t="shared" si="11"/>
        <v>-0.69314718055994529</v>
      </c>
    </row>
    <row r="173" spans="12:15" x14ac:dyDescent="0.15">
      <c r="L173" s="7">
        <f t="shared" si="8"/>
        <v>0</v>
      </c>
      <c r="M173" s="7">
        <f t="shared" si="9"/>
        <v>1</v>
      </c>
      <c r="N173" s="7">
        <f t="shared" si="10"/>
        <v>0.5</v>
      </c>
      <c r="O173" s="7">
        <f t="shared" si="11"/>
        <v>-0.69314718055994529</v>
      </c>
    </row>
    <row r="174" spans="12:15" x14ac:dyDescent="0.15">
      <c r="L174" s="7">
        <f t="shared" si="8"/>
        <v>0</v>
      </c>
      <c r="M174" s="7">
        <f t="shared" si="9"/>
        <v>1</v>
      </c>
      <c r="N174" s="7">
        <f t="shared" si="10"/>
        <v>0.5</v>
      </c>
      <c r="O174" s="7">
        <f t="shared" si="11"/>
        <v>-0.69314718055994529</v>
      </c>
    </row>
    <row r="175" spans="12:15" x14ac:dyDescent="0.15">
      <c r="L175" s="7">
        <f t="shared" si="8"/>
        <v>0</v>
      </c>
      <c r="M175" s="7">
        <f t="shared" si="9"/>
        <v>1</v>
      </c>
      <c r="N175" s="7">
        <f t="shared" si="10"/>
        <v>0.5</v>
      </c>
      <c r="O175" s="7">
        <f t="shared" si="11"/>
        <v>-0.69314718055994529</v>
      </c>
    </row>
    <row r="176" spans="12:15" x14ac:dyDescent="0.15">
      <c r="L176" s="7">
        <f t="shared" si="8"/>
        <v>0</v>
      </c>
      <c r="M176" s="7">
        <f t="shared" si="9"/>
        <v>1</v>
      </c>
      <c r="N176" s="7">
        <f t="shared" si="10"/>
        <v>0.5</v>
      </c>
      <c r="O176" s="7">
        <f t="shared" si="11"/>
        <v>-0.69314718055994529</v>
      </c>
    </row>
    <row r="177" spans="12:15" x14ac:dyDescent="0.15">
      <c r="L177" s="7">
        <f t="shared" si="8"/>
        <v>0</v>
      </c>
      <c r="M177" s="7">
        <f t="shared" si="9"/>
        <v>1</v>
      </c>
      <c r="N177" s="7">
        <f t="shared" si="10"/>
        <v>0.5</v>
      </c>
      <c r="O177" s="7">
        <f t="shared" si="11"/>
        <v>-0.69314718055994529</v>
      </c>
    </row>
    <row r="178" spans="12:15" x14ac:dyDescent="0.15">
      <c r="L178" s="7">
        <f t="shared" si="8"/>
        <v>0</v>
      </c>
      <c r="M178" s="7">
        <f t="shared" si="9"/>
        <v>1</v>
      </c>
      <c r="N178" s="7">
        <f t="shared" si="10"/>
        <v>0.5</v>
      </c>
      <c r="O178" s="7">
        <f t="shared" si="11"/>
        <v>-0.69314718055994529</v>
      </c>
    </row>
    <row r="179" spans="12:15" x14ac:dyDescent="0.15">
      <c r="L179" s="7">
        <f t="shared" si="8"/>
        <v>0</v>
      </c>
      <c r="M179" s="7">
        <f t="shared" si="9"/>
        <v>1</v>
      </c>
      <c r="N179" s="7">
        <f t="shared" si="10"/>
        <v>0.5</v>
      </c>
      <c r="O179" s="7">
        <f t="shared" si="11"/>
        <v>-0.69314718055994529</v>
      </c>
    </row>
    <row r="180" spans="12:15" x14ac:dyDescent="0.15">
      <c r="L180" s="7">
        <f t="shared" si="8"/>
        <v>0</v>
      </c>
      <c r="M180" s="7">
        <f t="shared" si="9"/>
        <v>1</v>
      </c>
      <c r="N180" s="7">
        <f t="shared" si="10"/>
        <v>0.5</v>
      </c>
      <c r="O180" s="7">
        <f t="shared" si="11"/>
        <v>-0.69314718055994529</v>
      </c>
    </row>
    <row r="181" spans="12:15" x14ac:dyDescent="0.15">
      <c r="L181" s="7">
        <f t="shared" si="8"/>
        <v>0</v>
      </c>
      <c r="M181" s="7">
        <f t="shared" si="9"/>
        <v>1</v>
      </c>
      <c r="N181" s="7">
        <f t="shared" si="10"/>
        <v>0.5</v>
      </c>
      <c r="O181" s="7">
        <f t="shared" si="11"/>
        <v>-0.69314718055994529</v>
      </c>
    </row>
    <row r="182" spans="12:15" x14ac:dyDescent="0.15">
      <c r="L182" s="7">
        <f t="shared" si="8"/>
        <v>0</v>
      </c>
      <c r="M182" s="7">
        <f t="shared" si="9"/>
        <v>1</v>
      </c>
      <c r="N182" s="7">
        <f t="shared" si="10"/>
        <v>0.5</v>
      </c>
      <c r="O182" s="7">
        <f t="shared" si="11"/>
        <v>-0.69314718055994529</v>
      </c>
    </row>
    <row r="183" spans="12:15" x14ac:dyDescent="0.15">
      <c r="L183" s="7">
        <f t="shared" si="8"/>
        <v>0</v>
      </c>
      <c r="M183" s="7">
        <f t="shared" si="9"/>
        <v>1</v>
      </c>
      <c r="N183" s="7">
        <f t="shared" si="10"/>
        <v>0.5</v>
      </c>
      <c r="O183" s="7">
        <f t="shared" si="11"/>
        <v>-0.69314718055994529</v>
      </c>
    </row>
    <row r="184" spans="12:15" x14ac:dyDescent="0.15">
      <c r="L184" s="7">
        <f t="shared" si="8"/>
        <v>0</v>
      </c>
      <c r="M184" s="7">
        <f t="shared" si="9"/>
        <v>1</v>
      </c>
      <c r="N184" s="7">
        <f t="shared" si="10"/>
        <v>0.5</v>
      </c>
      <c r="O184" s="7">
        <f t="shared" si="11"/>
        <v>-0.69314718055994529</v>
      </c>
    </row>
    <row r="185" spans="12:15" x14ac:dyDescent="0.15">
      <c r="L185" s="7">
        <f t="shared" si="8"/>
        <v>0</v>
      </c>
      <c r="M185" s="7">
        <f t="shared" si="9"/>
        <v>1</v>
      </c>
      <c r="N185" s="7">
        <f t="shared" si="10"/>
        <v>0.5</v>
      </c>
      <c r="O185" s="7">
        <f t="shared" si="11"/>
        <v>-0.69314718055994529</v>
      </c>
    </row>
    <row r="186" spans="12:15" x14ac:dyDescent="0.15">
      <c r="L186" s="7">
        <f t="shared" si="8"/>
        <v>0</v>
      </c>
      <c r="M186" s="7">
        <f t="shared" si="9"/>
        <v>1</v>
      </c>
      <c r="N186" s="7">
        <f t="shared" si="10"/>
        <v>0.5</v>
      </c>
      <c r="O186" s="7">
        <f t="shared" si="11"/>
        <v>-0.69314718055994529</v>
      </c>
    </row>
    <row r="187" spans="12:15" x14ac:dyDescent="0.15">
      <c r="L187" s="7">
        <f t="shared" si="8"/>
        <v>0</v>
      </c>
      <c r="M187" s="7">
        <f t="shared" si="9"/>
        <v>1</v>
      </c>
      <c r="N187" s="7">
        <f t="shared" si="10"/>
        <v>0.5</v>
      </c>
      <c r="O187" s="7">
        <f t="shared" si="11"/>
        <v>-0.69314718055994529</v>
      </c>
    </row>
    <row r="188" spans="12:15" x14ac:dyDescent="0.15">
      <c r="L188" s="7">
        <f t="shared" si="8"/>
        <v>0</v>
      </c>
      <c r="M188" s="7">
        <f t="shared" si="9"/>
        <v>1</v>
      </c>
      <c r="N188" s="7">
        <f t="shared" si="10"/>
        <v>0.5</v>
      </c>
      <c r="O188" s="7">
        <f t="shared" si="11"/>
        <v>-0.69314718055994529</v>
      </c>
    </row>
    <row r="189" spans="12:15" x14ac:dyDescent="0.15">
      <c r="L189" s="7">
        <f t="shared" si="8"/>
        <v>0</v>
      </c>
      <c r="M189" s="7">
        <f t="shared" si="9"/>
        <v>1</v>
      </c>
      <c r="N189" s="7">
        <f t="shared" si="10"/>
        <v>0.5</v>
      </c>
      <c r="O189" s="7">
        <f t="shared" si="11"/>
        <v>-0.69314718055994529</v>
      </c>
    </row>
    <row r="190" spans="12:15" x14ac:dyDescent="0.15">
      <c r="L190" s="7">
        <f t="shared" si="8"/>
        <v>0</v>
      </c>
      <c r="M190" s="7">
        <f t="shared" si="9"/>
        <v>1</v>
      </c>
      <c r="N190" s="7">
        <f t="shared" si="10"/>
        <v>0.5</v>
      </c>
      <c r="O190" s="7">
        <f t="shared" si="11"/>
        <v>-0.69314718055994529</v>
      </c>
    </row>
    <row r="191" spans="12:15" x14ac:dyDescent="0.15">
      <c r="L191" s="7">
        <f t="shared" si="8"/>
        <v>0</v>
      </c>
      <c r="M191" s="7">
        <f t="shared" si="9"/>
        <v>1</v>
      </c>
      <c r="N191" s="7">
        <f t="shared" si="10"/>
        <v>0.5</v>
      </c>
      <c r="O191" s="7">
        <f t="shared" si="11"/>
        <v>-0.69314718055994529</v>
      </c>
    </row>
    <row r="192" spans="12:15" x14ac:dyDescent="0.15">
      <c r="L192" s="7">
        <f t="shared" si="8"/>
        <v>0</v>
      </c>
      <c r="M192" s="7">
        <f t="shared" si="9"/>
        <v>1</v>
      </c>
      <c r="N192" s="7">
        <f t="shared" si="10"/>
        <v>0.5</v>
      </c>
      <c r="O192" s="7">
        <f t="shared" si="11"/>
        <v>-0.69314718055994529</v>
      </c>
    </row>
    <row r="193" spans="12:15" x14ac:dyDescent="0.15">
      <c r="L193" s="7">
        <f t="shared" si="8"/>
        <v>0</v>
      </c>
      <c r="M193" s="7">
        <f t="shared" si="9"/>
        <v>1</v>
      </c>
      <c r="N193" s="7">
        <f t="shared" si="10"/>
        <v>0.5</v>
      </c>
      <c r="O193" s="7">
        <f t="shared" si="11"/>
        <v>-0.69314718055994529</v>
      </c>
    </row>
    <row r="194" spans="12:15" x14ac:dyDescent="0.15">
      <c r="L194" s="7">
        <f t="shared" si="8"/>
        <v>0</v>
      </c>
      <c r="M194" s="7">
        <f t="shared" si="9"/>
        <v>1</v>
      </c>
      <c r="N194" s="7">
        <f t="shared" si="10"/>
        <v>0.5</v>
      </c>
      <c r="O194" s="7">
        <f t="shared" si="11"/>
        <v>-0.69314718055994529</v>
      </c>
    </row>
    <row r="195" spans="12:15" x14ac:dyDescent="0.15">
      <c r="L195" s="7">
        <f t="shared" ref="L195:L258" si="12">$Q$1 + $Q$2*B195+$Q$3*C195+ $Q$4*D195+$Q$5*E195+$Q$6*F195+$Q$7*G195+H195*$Q$8+I195*$Q$9+J195*$Q$10+K195*$Q$11</f>
        <v>0</v>
      </c>
      <c r="M195" s="7">
        <f t="shared" ref="M195:M258" si="13">EXP(L195)</f>
        <v>1</v>
      </c>
      <c r="N195" s="7">
        <f t="shared" ref="N195:N258" si="14">1/(1+M195)</f>
        <v>0.5</v>
      </c>
      <c r="O195" s="7">
        <f t="shared" ref="O195:O258" si="15">A195*LN(N195)+(1-A195)*LN(1-N195)</f>
        <v>-0.69314718055994529</v>
      </c>
    </row>
    <row r="196" spans="12:15" x14ac:dyDescent="0.15">
      <c r="L196" s="7">
        <f t="shared" si="12"/>
        <v>0</v>
      </c>
      <c r="M196" s="7">
        <f t="shared" si="13"/>
        <v>1</v>
      </c>
      <c r="N196" s="7">
        <f t="shared" si="14"/>
        <v>0.5</v>
      </c>
      <c r="O196" s="7">
        <f t="shared" si="15"/>
        <v>-0.69314718055994529</v>
      </c>
    </row>
    <row r="197" spans="12:15" x14ac:dyDescent="0.15">
      <c r="L197" s="7">
        <f t="shared" si="12"/>
        <v>0</v>
      </c>
      <c r="M197" s="7">
        <f t="shared" si="13"/>
        <v>1</v>
      </c>
      <c r="N197" s="7">
        <f t="shared" si="14"/>
        <v>0.5</v>
      </c>
      <c r="O197" s="7">
        <f t="shared" si="15"/>
        <v>-0.69314718055994529</v>
      </c>
    </row>
    <row r="198" spans="12:15" x14ac:dyDescent="0.15">
      <c r="L198" s="7">
        <f t="shared" si="12"/>
        <v>0</v>
      </c>
      <c r="M198" s="7">
        <f t="shared" si="13"/>
        <v>1</v>
      </c>
      <c r="N198" s="7">
        <f t="shared" si="14"/>
        <v>0.5</v>
      </c>
      <c r="O198" s="7">
        <f t="shared" si="15"/>
        <v>-0.69314718055994529</v>
      </c>
    </row>
    <row r="199" spans="12:15" x14ac:dyDescent="0.15">
      <c r="L199" s="7">
        <f t="shared" si="12"/>
        <v>0</v>
      </c>
      <c r="M199" s="7">
        <f t="shared" si="13"/>
        <v>1</v>
      </c>
      <c r="N199" s="7">
        <f t="shared" si="14"/>
        <v>0.5</v>
      </c>
      <c r="O199" s="7">
        <f t="shared" si="15"/>
        <v>-0.69314718055994529</v>
      </c>
    </row>
    <row r="200" spans="12:15" x14ac:dyDescent="0.15">
      <c r="L200" s="7">
        <f t="shared" si="12"/>
        <v>0</v>
      </c>
      <c r="M200" s="7">
        <f t="shared" si="13"/>
        <v>1</v>
      </c>
      <c r="N200" s="7">
        <f t="shared" si="14"/>
        <v>0.5</v>
      </c>
      <c r="O200" s="7">
        <f t="shared" si="15"/>
        <v>-0.69314718055994529</v>
      </c>
    </row>
    <row r="201" spans="12:15" x14ac:dyDescent="0.15">
      <c r="L201" s="7">
        <f t="shared" si="12"/>
        <v>0</v>
      </c>
      <c r="M201" s="7">
        <f t="shared" si="13"/>
        <v>1</v>
      </c>
      <c r="N201" s="7">
        <f t="shared" si="14"/>
        <v>0.5</v>
      </c>
      <c r="O201" s="7">
        <f t="shared" si="15"/>
        <v>-0.69314718055994529</v>
      </c>
    </row>
    <row r="202" spans="12:15" x14ac:dyDescent="0.15">
      <c r="L202" s="7">
        <f t="shared" si="12"/>
        <v>0</v>
      </c>
      <c r="M202" s="7">
        <f t="shared" si="13"/>
        <v>1</v>
      </c>
      <c r="N202" s="7">
        <f t="shared" si="14"/>
        <v>0.5</v>
      </c>
      <c r="O202" s="7">
        <f t="shared" si="15"/>
        <v>-0.69314718055994529</v>
      </c>
    </row>
    <row r="203" spans="12:15" x14ac:dyDescent="0.15">
      <c r="L203" s="7">
        <f t="shared" si="12"/>
        <v>0</v>
      </c>
      <c r="M203" s="7">
        <f t="shared" si="13"/>
        <v>1</v>
      </c>
      <c r="N203" s="7">
        <f t="shared" si="14"/>
        <v>0.5</v>
      </c>
      <c r="O203" s="7">
        <f t="shared" si="15"/>
        <v>-0.69314718055994529</v>
      </c>
    </row>
    <row r="204" spans="12:15" x14ac:dyDescent="0.15">
      <c r="L204" s="7">
        <f t="shared" si="12"/>
        <v>0</v>
      </c>
      <c r="M204" s="7">
        <f t="shared" si="13"/>
        <v>1</v>
      </c>
      <c r="N204" s="7">
        <f t="shared" si="14"/>
        <v>0.5</v>
      </c>
      <c r="O204" s="7">
        <f t="shared" si="15"/>
        <v>-0.69314718055994529</v>
      </c>
    </row>
    <row r="205" spans="12:15" x14ac:dyDescent="0.15">
      <c r="L205" s="7">
        <f t="shared" si="12"/>
        <v>0</v>
      </c>
      <c r="M205" s="7">
        <f t="shared" si="13"/>
        <v>1</v>
      </c>
      <c r="N205" s="7">
        <f t="shared" si="14"/>
        <v>0.5</v>
      </c>
      <c r="O205" s="7">
        <f t="shared" si="15"/>
        <v>-0.69314718055994529</v>
      </c>
    </row>
    <row r="206" spans="12:15" x14ac:dyDescent="0.15">
      <c r="L206" s="7">
        <f t="shared" si="12"/>
        <v>0</v>
      </c>
      <c r="M206" s="7">
        <f t="shared" si="13"/>
        <v>1</v>
      </c>
      <c r="N206" s="7">
        <f t="shared" si="14"/>
        <v>0.5</v>
      </c>
      <c r="O206" s="7">
        <f t="shared" si="15"/>
        <v>-0.69314718055994529</v>
      </c>
    </row>
    <row r="207" spans="12:15" x14ac:dyDescent="0.15">
      <c r="L207" s="7">
        <f t="shared" si="12"/>
        <v>0</v>
      </c>
      <c r="M207" s="7">
        <f t="shared" si="13"/>
        <v>1</v>
      </c>
      <c r="N207" s="7">
        <f t="shared" si="14"/>
        <v>0.5</v>
      </c>
      <c r="O207" s="7">
        <f t="shared" si="15"/>
        <v>-0.69314718055994529</v>
      </c>
    </row>
    <row r="208" spans="12:15" x14ac:dyDescent="0.15">
      <c r="L208" s="7">
        <f t="shared" si="12"/>
        <v>0</v>
      </c>
      <c r="M208" s="7">
        <f t="shared" si="13"/>
        <v>1</v>
      </c>
      <c r="N208" s="7">
        <f t="shared" si="14"/>
        <v>0.5</v>
      </c>
      <c r="O208" s="7">
        <f t="shared" si="15"/>
        <v>-0.69314718055994529</v>
      </c>
    </row>
    <row r="209" spans="12:15" x14ac:dyDescent="0.15">
      <c r="L209" s="7">
        <f t="shared" si="12"/>
        <v>0</v>
      </c>
      <c r="M209" s="7">
        <f t="shared" si="13"/>
        <v>1</v>
      </c>
      <c r="N209" s="7">
        <f t="shared" si="14"/>
        <v>0.5</v>
      </c>
      <c r="O209" s="7">
        <f t="shared" si="15"/>
        <v>-0.69314718055994529</v>
      </c>
    </row>
    <row r="210" spans="12:15" x14ac:dyDescent="0.15">
      <c r="L210" s="7">
        <f t="shared" si="12"/>
        <v>0</v>
      </c>
      <c r="M210" s="7">
        <f t="shared" si="13"/>
        <v>1</v>
      </c>
      <c r="N210" s="7">
        <f t="shared" si="14"/>
        <v>0.5</v>
      </c>
      <c r="O210" s="7">
        <f t="shared" si="15"/>
        <v>-0.69314718055994529</v>
      </c>
    </row>
    <row r="211" spans="12:15" x14ac:dyDescent="0.15">
      <c r="L211" s="7">
        <f t="shared" si="12"/>
        <v>0</v>
      </c>
      <c r="M211" s="7">
        <f t="shared" si="13"/>
        <v>1</v>
      </c>
      <c r="N211" s="7">
        <f t="shared" si="14"/>
        <v>0.5</v>
      </c>
      <c r="O211" s="7">
        <f t="shared" si="15"/>
        <v>-0.69314718055994529</v>
      </c>
    </row>
    <row r="212" spans="12:15" x14ac:dyDescent="0.15">
      <c r="L212" s="7">
        <f t="shared" si="12"/>
        <v>0</v>
      </c>
      <c r="M212" s="7">
        <f t="shared" si="13"/>
        <v>1</v>
      </c>
      <c r="N212" s="7">
        <f t="shared" si="14"/>
        <v>0.5</v>
      </c>
      <c r="O212" s="7">
        <f t="shared" si="15"/>
        <v>-0.69314718055994529</v>
      </c>
    </row>
    <row r="213" spans="12:15" x14ac:dyDescent="0.15">
      <c r="L213" s="7">
        <f t="shared" si="12"/>
        <v>0</v>
      </c>
      <c r="M213" s="7">
        <f t="shared" si="13"/>
        <v>1</v>
      </c>
      <c r="N213" s="7">
        <f t="shared" si="14"/>
        <v>0.5</v>
      </c>
      <c r="O213" s="7">
        <f t="shared" si="15"/>
        <v>-0.69314718055994529</v>
      </c>
    </row>
    <row r="214" spans="12:15" x14ac:dyDescent="0.15">
      <c r="L214" s="7">
        <f t="shared" si="12"/>
        <v>0</v>
      </c>
      <c r="M214" s="7">
        <f t="shared" si="13"/>
        <v>1</v>
      </c>
      <c r="N214" s="7">
        <f t="shared" si="14"/>
        <v>0.5</v>
      </c>
      <c r="O214" s="7">
        <f t="shared" si="15"/>
        <v>-0.69314718055994529</v>
      </c>
    </row>
    <row r="215" spans="12:15" x14ac:dyDescent="0.15">
      <c r="L215" s="7">
        <f t="shared" si="12"/>
        <v>0</v>
      </c>
      <c r="M215" s="7">
        <f t="shared" si="13"/>
        <v>1</v>
      </c>
      <c r="N215" s="7">
        <f t="shared" si="14"/>
        <v>0.5</v>
      </c>
      <c r="O215" s="7">
        <f t="shared" si="15"/>
        <v>-0.69314718055994529</v>
      </c>
    </row>
    <row r="216" spans="12:15" x14ac:dyDescent="0.15">
      <c r="L216" s="7">
        <f t="shared" si="12"/>
        <v>0</v>
      </c>
      <c r="M216" s="7">
        <f t="shared" si="13"/>
        <v>1</v>
      </c>
      <c r="N216" s="7">
        <f t="shared" si="14"/>
        <v>0.5</v>
      </c>
      <c r="O216" s="7">
        <f t="shared" si="15"/>
        <v>-0.69314718055994529</v>
      </c>
    </row>
    <row r="217" spans="12:15" x14ac:dyDescent="0.15">
      <c r="L217" s="7">
        <f t="shared" si="12"/>
        <v>0</v>
      </c>
      <c r="M217" s="7">
        <f t="shared" si="13"/>
        <v>1</v>
      </c>
      <c r="N217" s="7">
        <f t="shared" si="14"/>
        <v>0.5</v>
      </c>
      <c r="O217" s="7">
        <f t="shared" si="15"/>
        <v>-0.69314718055994529</v>
      </c>
    </row>
    <row r="218" spans="12:15" x14ac:dyDescent="0.15">
      <c r="L218" s="7">
        <f t="shared" si="12"/>
        <v>0</v>
      </c>
      <c r="M218" s="7">
        <f t="shared" si="13"/>
        <v>1</v>
      </c>
      <c r="N218" s="7">
        <f t="shared" si="14"/>
        <v>0.5</v>
      </c>
      <c r="O218" s="7">
        <f t="shared" si="15"/>
        <v>-0.69314718055994529</v>
      </c>
    </row>
    <row r="219" spans="12:15" x14ac:dyDescent="0.15">
      <c r="L219" s="7">
        <f t="shared" si="12"/>
        <v>0</v>
      </c>
      <c r="M219" s="7">
        <f t="shared" si="13"/>
        <v>1</v>
      </c>
      <c r="N219" s="7">
        <f t="shared" si="14"/>
        <v>0.5</v>
      </c>
      <c r="O219" s="7">
        <f t="shared" si="15"/>
        <v>-0.69314718055994529</v>
      </c>
    </row>
    <row r="220" spans="12:15" x14ac:dyDescent="0.15">
      <c r="L220" s="7">
        <f t="shared" si="12"/>
        <v>0</v>
      </c>
      <c r="M220" s="7">
        <f t="shared" si="13"/>
        <v>1</v>
      </c>
      <c r="N220" s="7">
        <f t="shared" si="14"/>
        <v>0.5</v>
      </c>
      <c r="O220" s="7">
        <f t="shared" si="15"/>
        <v>-0.69314718055994529</v>
      </c>
    </row>
    <row r="221" spans="12:15" x14ac:dyDescent="0.15">
      <c r="L221" s="7">
        <f t="shared" si="12"/>
        <v>0</v>
      </c>
      <c r="M221" s="7">
        <f t="shared" si="13"/>
        <v>1</v>
      </c>
      <c r="N221" s="7">
        <f t="shared" si="14"/>
        <v>0.5</v>
      </c>
      <c r="O221" s="7">
        <f t="shared" si="15"/>
        <v>-0.69314718055994529</v>
      </c>
    </row>
    <row r="222" spans="12:15" x14ac:dyDescent="0.15">
      <c r="L222" s="7">
        <f t="shared" si="12"/>
        <v>0</v>
      </c>
      <c r="M222" s="7">
        <f t="shared" si="13"/>
        <v>1</v>
      </c>
      <c r="N222" s="7">
        <f t="shared" si="14"/>
        <v>0.5</v>
      </c>
      <c r="O222" s="7">
        <f t="shared" si="15"/>
        <v>-0.69314718055994529</v>
      </c>
    </row>
    <row r="223" spans="12:15" x14ac:dyDescent="0.15">
      <c r="L223" s="7">
        <f t="shared" si="12"/>
        <v>0</v>
      </c>
      <c r="M223" s="7">
        <f t="shared" si="13"/>
        <v>1</v>
      </c>
      <c r="N223" s="7">
        <f t="shared" si="14"/>
        <v>0.5</v>
      </c>
      <c r="O223" s="7">
        <f t="shared" si="15"/>
        <v>-0.69314718055994529</v>
      </c>
    </row>
    <row r="224" spans="12:15" x14ac:dyDescent="0.15">
      <c r="L224" s="7">
        <f t="shared" si="12"/>
        <v>0</v>
      </c>
      <c r="M224" s="7">
        <f t="shared" si="13"/>
        <v>1</v>
      </c>
      <c r="N224" s="7">
        <f t="shared" si="14"/>
        <v>0.5</v>
      </c>
      <c r="O224" s="7">
        <f t="shared" si="15"/>
        <v>-0.69314718055994529</v>
      </c>
    </row>
    <row r="225" spans="12:15" x14ac:dyDescent="0.15">
      <c r="L225" s="7">
        <f t="shared" si="12"/>
        <v>0</v>
      </c>
      <c r="M225" s="7">
        <f t="shared" si="13"/>
        <v>1</v>
      </c>
      <c r="N225" s="7">
        <f t="shared" si="14"/>
        <v>0.5</v>
      </c>
      <c r="O225" s="7">
        <f t="shared" si="15"/>
        <v>-0.69314718055994529</v>
      </c>
    </row>
    <row r="226" spans="12:15" x14ac:dyDescent="0.15">
      <c r="L226" s="7">
        <f t="shared" si="12"/>
        <v>0</v>
      </c>
      <c r="M226" s="7">
        <f t="shared" si="13"/>
        <v>1</v>
      </c>
      <c r="N226" s="7">
        <f t="shared" si="14"/>
        <v>0.5</v>
      </c>
      <c r="O226" s="7">
        <f t="shared" si="15"/>
        <v>-0.69314718055994529</v>
      </c>
    </row>
    <row r="227" spans="12:15" x14ac:dyDescent="0.15">
      <c r="L227" s="7">
        <f t="shared" si="12"/>
        <v>0</v>
      </c>
      <c r="M227" s="7">
        <f t="shared" si="13"/>
        <v>1</v>
      </c>
      <c r="N227" s="7">
        <f t="shared" si="14"/>
        <v>0.5</v>
      </c>
      <c r="O227" s="7">
        <f t="shared" si="15"/>
        <v>-0.69314718055994529</v>
      </c>
    </row>
    <row r="228" spans="12:15" x14ac:dyDescent="0.15">
      <c r="L228" s="7">
        <f t="shared" si="12"/>
        <v>0</v>
      </c>
      <c r="M228" s="7">
        <f t="shared" si="13"/>
        <v>1</v>
      </c>
      <c r="N228" s="7">
        <f t="shared" si="14"/>
        <v>0.5</v>
      </c>
      <c r="O228" s="7">
        <f t="shared" si="15"/>
        <v>-0.69314718055994529</v>
      </c>
    </row>
    <row r="229" spans="12:15" x14ac:dyDescent="0.15">
      <c r="L229" s="7">
        <f t="shared" si="12"/>
        <v>0</v>
      </c>
      <c r="M229" s="7">
        <f t="shared" si="13"/>
        <v>1</v>
      </c>
      <c r="N229" s="7">
        <f t="shared" si="14"/>
        <v>0.5</v>
      </c>
      <c r="O229" s="7">
        <f t="shared" si="15"/>
        <v>-0.69314718055994529</v>
      </c>
    </row>
    <row r="230" spans="12:15" x14ac:dyDescent="0.15">
      <c r="L230" s="7">
        <f t="shared" si="12"/>
        <v>0</v>
      </c>
      <c r="M230" s="7">
        <f t="shared" si="13"/>
        <v>1</v>
      </c>
      <c r="N230" s="7">
        <f t="shared" si="14"/>
        <v>0.5</v>
      </c>
      <c r="O230" s="7">
        <f t="shared" si="15"/>
        <v>-0.69314718055994529</v>
      </c>
    </row>
    <row r="231" spans="12:15" x14ac:dyDescent="0.15">
      <c r="L231" s="7">
        <f t="shared" si="12"/>
        <v>0</v>
      </c>
      <c r="M231" s="7">
        <f t="shared" si="13"/>
        <v>1</v>
      </c>
      <c r="N231" s="7">
        <f t="shared" si="14"/>
        <v>0.5</v>
      </c>
      <c r="O231" s="7">
        <f t="shared" si="15"/>
        <v>-0.69314718055994529</v>
      </c>
    </row>
    <row r="232" spans="12:15" x14ac:dyDescent="0.15">
      <c r="L232" s="7">
        <f t="shared" si="12"/>
        <v>0</v>
      </c>
      <c r="M232" s="7">
        <f t="shared" si="13"/>
        <v>1</v>
      </c>
      <c r="N232" s="7">
        <f t="shared" si="14"/>
        <v>0.5</v>
      </c>
      <c r="O232" s="7">
        <f t="shared" si="15"/>
        <v>-0.69314718055994529</v>
      </c>
    </row>
    <row r="233" spans="12:15" x14ac:dyDescent="0.15">
      <c r="L233" s="7">
        <f t="shared" si="12"/>
        <v>0</v>
      </c>
      <c r="M233" s="7">
        <f t="shared" si="13"/>
        <v>1</v>
      </c>
      <c r="N233" s="7">
        <f t="shared" si="14"/>
        <v>0.5</v>
      </c>
      <c r="O233" s="7">
        <f t="shared" si="15"/>
        <v>-0.69314718055994529</v>
      </c>
    </row>
    <row r="234" spans="12:15" x14ac:dyDescent="0.15">
      <c r="L234" s="7">
        <f t="shared" si="12"/>
        <v>0</v>
      </c>
      <c r="M234" s="7">
        <f t="shared" si="13"/>
        <v>1</v>
      </c>
      <c r="N234" s="7">
        <f t="shared" si="14"/>
        <v>0.5</v>
      </c>
      <c r="O234" s="7">
        <f t="shared" si="15"/>
        <v>-0.69314718055994529</v>
      </c>
    </row>
    <row r="235" spans="12:15" x14ac:dyDescent="0.15">
      <c r="L235" s="7">
        <f t="shared" si="12"/>
        <v>0</v>
      </c>
      <c r="M235" s="7">
        <f t="shared" si="13"/>
        <v>1</v>
      </c>
      <c r="N235" s="7">
        <f t="shared" si="14"/>
        <v>0.5</v>
      </c>
      <c r="O235" s="7">
        <f t="shared" si="15"/>
        <v>-0.69314718055994529</v>
      </c>
    </row>
    <row r="236" spans="12:15" x14ac:dyDescent="0.15">
      <c r="L236" s="7">
        <f t="shared" si="12"/>
        <v>0</v>
      </c>
      <c r="M236" s="7">
        <f t="shared" si="13"/>
        <v>1</v>
      </c>
      <c r="N236" s="7">
        <f t="shared" si="14"/>
        <v>0.5</v>
      </c>
      <c r="O236" s="7">
        <f t="shared" si="15"/>
        <v>-0.69314718055994529</v>
      </c>
    </row>
    <row r="237" spans="12:15" x14ac:dyDescent="0.15">
      <c r="L237" s="7">
        <f t="shared" si="12"/>
        <v>0</v>
      </c>
      <c r="M237" s="7">
        <f t="shared" si="13"/>
        <v>1</v>
      </c>
      <c r="N237" s="7">
        <f t="shared" si="14"/>
        <v>0.5</v>
      </c>
      <c r="O237" s="7">
        <f t="shared" si="15"/>
        <v>-0.69314718055994529</v>
      </c>
    </row>
    <row r="238" spans="12:15" x14ac:dyDescent="0.15">
      <c r="L238" s="7">
        <f t="shared" si="12"/>
        <v>0</v>
      </c>
      <c r="M238" s="7">
        <f t="shared" si="13"/>
        <v>1</v>
      </c>
      <c r="N238" s="7">
        <f t="shared" si="14"/>
        <v>0.5</v>
      </c>
      <c r="O238" s="7">
        <f t="shared" si="15"/>
        <v>-0.69314718055994529</v>
      </c>
    </row>
    <row r="239" spans="12:15" x14ac:dyDescent="0.15">
      <c r="L239" s="7">
        <f t="shared" si="12"/>
        <v>0</v>
      </c>
      <c r="M239" s="7">
        <f t="shared" si="13"/>
        <v>1</v>
      </c>
      <c r="N239" s="7">
        <f t="shared" si="14"/>
        <v>0.5</v>
      </c>
      <c r="O239" s="7">
        <f t="shared" si="15"/>
        <v>-0.69314718055994529</v>
      </c>
    </row>
    <row r="240" spans="12:15" x14ac:dyDescent="0.15">
      <c r="L240" s="7">
        <f t="shared" si="12"/>
        <v>0</v>
      </c>
      <c r="M240" s="7">
        <f t="shared" si="13"/>
        <v>1</v>
      </c>
      <c r="N240" s="7">
        <f t="shared" si="14"/>
        <v>0.5</v>
      </c>
      <c r="O240" s="7">
        <f t="shared" si="15"/>
        <v>-0.69314718055994529</v>
      </c>
    </row>
    <row r="241" spans="12:15" x14ac:dyDescent="0.15">
      <c r="L241" s="7">
        <f t="shared" si="12"/>
        <v>0</v>
      </c>
      <c r="M241" s="7">
        <f t="shared" si="13"/>
        <v>1</v>
      </c>
      <c r="N241" s="7">
        <f t="shared" si="14"/>
        <v>0.5</v>
      </c>
      <c r="O241" s="7">
        <f t="shared" si="15"/>
        <v>-0.69314718055994529</v>
      </c>
    </row>
    <row r="242" spans="12:15" x14ac:dyDescent="0.15">
      <c r="L242" s="7">
        <f t="shared" si="12"/>
        <v>0</v>
      </c>
      <c r="M242" s="7">
        <f t="shared" si="13"/>
        <v>1</v>
      </c>
      <c r="N242" s="7">
        <f t="shared" si="14"/>
        <v>0.5</v>
      </c>
      <c r="O242" s="7">
        <f t="shared" si="15"/>
        <v>-0.69314718055994529</v>
      </c>
    </row>
    <row r="243" spans="12:15" x14ac:dyDescent="0.15">
      <c r="L243" s="7">
        <f t="shared" si="12"/>
        <v>0</v>
      </c>
      <c r="M243" s="7">
        <f t="shared" si="13"/>
        <v>1</v>
      </c>
      <c r="N243" s="7">
        <f t="shared" si="14"/>
        <v>0.5</v>
      </c>
      <c r="O243" s="7">
        <f t="shared" si="15"/>
        <v>-0.69314718055994529</v>
      </c>
    </row>
    <row r="244" spans="12:15" x14ac:dyDescent="0.15">
      <c r="L244" s="7">
        <f t="shared" si="12"/>
        <v>0</v>
      </c>
      <c r="M244" s="7">
        <f t="shared" si="13"/>
        <v>1</v>
      </c>
      <c r="N244" s="7">
        <f t="shared" si="14"/>
        <v>0.5</v>
      </c>
      <c r="O244" s="7">
        <f t="shared" si="15"/>
        <v>-0.69314718055994529</v>
      </c>
    </row>
    <row r="245" spans="12:15" x14ac:dyDescent="0.15">
      <c r="L245" s="7">
        <f t="shared" si="12"/>
        <v>0</v>
      </c>
      <c r="M245" s="7">
        <f t="shared" si="13"/>
        <v>1</v>
      </c>
      <c r="N245" s="7">
        <f t="shared" si="14"/>
        <v>0.5</v>
      </c>
      <c r="O245" s="7">
        <f t="shared" si="15"/>
        <v>-0.69314718055994529</v>
      </c>
    </row>
    <row r="246" spans="12:15" x14ac:dyDescent="0.15">
      <c r="L246" s="7">
        <f t="shared" si="12"/>
        <v>0</v>
      </c>
      <c r="M246" s="7">
        <f t="shared" si="13"/>
        <v>1</v>
      </c>
      <c r="N246" s="7">
        <f t="shared" si="14"/>
        <v>0.5</v>
      </c>
      <c r="O246" s="7">
        <f t="shared" si="15"/>
        <v>-0.69314718055994529</v>
      </c>
    </row>
    <row r="247" spans="12:15" x14ac:dyDescent="0.15">
      <c r="L247" s="7">
        <f t="shared" si="12"/>
        <v>0</v>
      </c>
      <c r="M247" s="7">
        <f t="shared" si="13"/>
        <v>1</v>
      </c>
      <c r="N247" s="7">
        <f t="shared" si="14"/>
        <v>0.5</v>
      </c>
      <c r="O247" s="7">
        <f t="shared" si="15"/>
        <v>-0.69314718055994529</v>
      </c>
    </row>
    <row r="248" spans="12:15" x14ac:dyDescent="0.15">
      <c r="L248" s="7">
        <f t="shared" si="12"/>
        <v>0</v>
      </c>
      <c r="M248" s="7">
        <f t="shared" si="13"/>
        <v>1</v>
      </c>
      <c r="N248" s="7">
        <f t="shared" si="14"/>
        <v>0.5</v>
      </c>
      <c r="O248" s="7">
        <f t="shared" si="15"/>
        <v>-0.69314718055994529</v>
      </c>
    </row>
    <row r="249" spans="12:15" x14ac:dyDescent="0.15">
      <c r="L249" s="7">
        <f t="shared" si="12"/>
        <v>0</v>
      </c>
      <c r="M249" s="7">
        <f t="shared" si="13"/>
        <v>1</v>
      </c>
      <c r="N249" s="7">
        <f t="shared" si="14"/>
        <v>0.5</v>
      </c>
      <c r="O249" s="7">
        <f t="shared" si="15"/>
        <v>-0.69314718055994529</v>
      </c>
    </row>
    <row r="250" spans="12:15" x14ac:dyDescent="0.15">
      <c r="L250" s="7">
        <f t="shared" si="12"/>
        <v>0</v>
      </c>
      <c r="M250" s="7">
        <f t="shared" si="13"/>
        <v>1</v>
      </c>
      <c r="N250" s="7">
        <f t="shared" si="14"/>
        <v>0.5</v>
      </c>
      <c r="O250" s="7">
        <f t="shared" si="15"/>
        <v>-0.69314718055994529</v>
      </c>
    </row>
    <row r="251" spans="12:15" x14ac:dyDescent="0.15">
      <c r="L251" s="7">
        <f t="shared" si="12"/>
        <v>0</v>
      </c>
      <c r="M251" s="7">
        <f t="shared" si="13"/>
        <v>1</v>
      </c>
      <c r="N251" s="7">
        <f t="shared" si="14"/>
        <v>0.5</v>
      </c>
      <c r="O251" s="7">
        <f t="shared" si="15"/>
        <v>-0.69314718055994529</v>
      </c>
    </row>
    <row r="252" spans="12:15" x14ac:dyDescent="0.15">
      <c r="L252" s="7">
        <f t="shared" si="12"/>
        <v>0</v>
      </c>
      <c r="M252" s="7">
        <f t="shared" si="13"/>
        <v>1</v>
      </c>
      <c r="N252" s="7">
        <f t="shared" si="14"/>
        <v>0.5</v>
      </c>
      <c r="O252" s="7">
        <f t="shared" si="15"/>
        <v>-0.69314718055994529</v>
      </c>
    </row>
    <row r="253" spans="12:15" x14ac:dyDescent="0.15">
      <c r="L253" s="7">
        <f t="shared" si="12"/>
        <v>0</v>
      </c>
      <c r="M253" s="7">
        <f t="shared" si="13"/>
        <v>1</v>
      </c>
      <c r="N253" s="7">
        <f t="shared" si="14"/>
        <v>0.5</v>
      </c>
      <c r="O253" s="7">
        <f t="shared" si="15"/>
        <v>-0.69314718055994529</v>
      </c>
    </row>
    <row r="254" spans="12:15" x14ac:dyDescent="0.15">
      <c r="L254" s="7">
        <f t="shared" si="12"/>
        <v>0</v>
      </c>
      <c r="M254" s="7">
        <f t="shared" si="13"/>
        <v>1</v>
      </c>
      <c r="N254" s="7">
        <f t="shared" si="14"/>
        <v>0.5</v>
      </c>
      <c r="O254" s="7">
        <f t="shared" si="15"/>
        <v>-0.69314718055994529</v>
      </c>
    </row>
    <row r="255" spans="12:15" x14ac:dyDescent="0.15">
      <c r="L255" s="7">
        <f t="shared" si="12"/>
        <v>0</v>
      </c>
      <c r="M255" s="7">
        <f t="shared" si="13"/>
        <v>1</v>
      </c>
      <c r="N255" s="7">
        <f t="shared" si="14"/>
        <v>0.5</v>
      </c>
      <c r="O255" s="7">
        <f t="shared" si="15"/>
        <v>-0.69314718055994529</v>
      </c>
    </row>
    <row r="256" spans="12:15" x14ac:dyDescent="0.15">
      <c r="L256" s="7">
        <f t="shared" si="12"/>
        <v>0</v>
      </c>
      <c r="M256" s="7">
        <f t="shared" si="13"/>
        <v>1</v>
      </c>
      <c r="N256" s="7">
        <f t="shared" si="14"/>
        <v>0.5</v>
      </c>
      <c r="O256" s="7">
        <f t="shared" si="15"/>
        <v>-0.69314718055994529</v>
      </c>
    </row>
    <row r="257" spans="12:15" x14ac:dyDescent="0.15">
      <c r="L257" s="7">
        <f t="shared" si="12"/>
        <v>0</v>
      </c>
      <c r="M257" s="7">
        <f t="shared" si="13"/>
        <v>1</v>
      </c>
      <c r="N257" s="7">
        <f t="shared" si="14"/>
        <v>0.5</v>
      </c>
      <c r="O257" s="7">
        <f t="shared" si="15"/>
        <v>-0.69314718055994529</v>
      </c>
    </row>
    <row r="258" spans="12:15" x14ac:dyDescent="0.15">
      <c r="L258" s="7">
        <f t="shared" si="12"/>
        <v>0</v>
      </c>
      <c r="M258" s="7">
        <f t="shared" si="13"/>
        <v>1</v>
      </c>
      <c r="N258" s="7">
        <f t="shared" si="14"/>
        <v>0.5</v>
      </c>
      <c r="O258" s="7">
        <f t="shared" si="15"/>
        <v>-0.69314718055994529</v>
      </c>
    </row>
    <row r="259" spans="12:15" x14ac:dyDescent="0.15">
      <c r="L259" s="7">
        <f t="shared" ref="L259:L322" si="16">$Q$1 + $Q$2*B259+$Q$3*C259+ $Q$4*D259+$Q$5*E259+$Q$6*F259+$Q$7*G259+H259*$Q$8+I259*$Q$9+J259*$Q$10+K259*$Q$11</f>
        <v>0</v>
      </c>
      <c r="M259" s="7">
        <f t="shared" ref="M259:M322" si="17">EXP(L259)</f>
        <v>1</v>
      </c>
      <c r="N259" s="7">
        <f t="shared" ref="N259:N322" si="18">1/(1+M259)</f>
        <v>0.5</v>
      </c>
      <c r="O259" s="7">
        <f t="shared" ref="O259:O322" si="19">A259*LN(N259)+(1-A259)*LN(1-N259)</f>
        <v>-0.69314718055994529</v>
      </c>
    </row>
    <row r="260" spans="12:15" x14ac:dyDescent="0.15">
      <c r="L260" s="7">
        <f t="shared" si="16"/>
        <v>0</v>
      </c>
      <c r="M260" s="7">
        <f t="shared" si="17"/>
        <v>1</v>
      </c>
      <c r="N260" s="7">
        <f t="shared" si="18"/>
        <v>0.5</v>
      </c>
      <c r="O260" s="7">
        <f t="shared" si="19"/>
        <v>-0.69314718055994529</v>
      </c>
    </row>
    <row r="261" spans="12:15" x14ac:dyDescent="0.15">
      <c r="L261" s="7">
        <f t="shared" si="16"/>
        <v>0</v>
      </c>
      <c r="M261" s="7">
        <f t="shared" si="17"/>
        <v>1</v>
      </c>
      <c r="N261" s="7">
        <f t="shared" si="18"/>
        <v>0.5</v>
      </c>
      <c r="O261" s="7">
        <f t="shared" si="19"/>
        <v>-0.69314718055994529</v>
      </c>
    </row>
    <row r="262" spans="12:15" x14ac:dyDescent="0.15">
      <c r="L262" s="7">
        <f t="shared" si="16"/>
        <v>0</v>
      </c>
      <c r="M262" s="7">
        <f t="shared" si="17"/>
        <v>1</v>
      </c>
      <c r="N262" s="7">
        <f t="shared" si="18"/>
        <v>0.5</v>
      </c>
      <c r="O262" s="7">
        <f t="shared" si="19"/>
        <v>-0.69314718055994529</v>
      </c>
    </row>
    <row r="263" spans="12:15" x14ac:dyDescent="0.15">
      <c r="L263" s="7">
        <f t="shared" si="16"/>
        <v>0</v>
      </c>
      <c r="M263" s="7">
        <f t="shared" si="17"/>
        <v>1</v>
      </c>
      <c r="N263" s="7">
        <f t="shared" si="18"/>
        <v>0.5</v>
      </c>
      <c r="O263" s="7">
        <f t="shared" si="19"/>
        <v>-0.69314718055994529</v>
      </c>
    </row>
    <row r="264" spans="12:15" x14ac:dyDescent="0.15">
      <c r="L264" s="7">
        <f t="shared" si="16"/>
        <v>0</v>
      </c>
      <c r="M264" s="7">
        <f t="shared" si="17"/>
        <v>1</v>
      </c>
      <c r="N264" s="7">
        <f t="shared" si="18"/>
        <v>0.5</v>
      </c>
      <c r="O264" s="7">
        <f t="shared" si="19"/>
        <v>-0.69314718055994529</v>
      </c>
    </row>
    <row r="265" spans="12:15" x14ac:dyDescent="0.15">
      <c r="L265" s="7">
        <f t="shared" si="16"/>
        <v>0</v>
      </c>
      <c r="M265" s="7">
        <f t="shared" si="17"/>
        <v>1</v>
      </c>
      <c r="N265" s="7">
        <f t="shared" si="18"/>
        <v>0.5</v>
      </c>
      <c r="O265" s="7">
        <f t="shared" si="19"/>
        <v>-0.69314718055994529</v>
      </c>
    </row>
    <row r="266" spans="12:15" x14ac:dyDescent="0.15">
      <c r="L266" s="7">
        <f t="shared" si="16"/>
        <v>0</v>
      </c>
      <c r="M266" s="7">
        <f t="shared" si="17"/>
        <v>1</v>
      </c>
      <c r="N266" s="7">
        <f t="shared" si="18"/>
        <v>0.5</v>
      </c>
      <c r="O266" s="7">
        <f t="shared" si="19"/>
        <v>-0.69314718055994529</v>
      </c>
    </row>
    <row r="267" spans="12:15" x14ac:dyDescent="0.15">
      <c r="L267" s="7">
        <f t="shared" si="16"/>
        <v>0</v>
      </c>
      <c r="M267" s="7">
        <f t="shared" si="17"/>
        <v>1</v>
      </c>
      <c r="N267" s="7">
        <f t="shared" si="18"/>
        <v>0.5</v>
      </c>
      <c r="O267" s="7">
        <f t="shared" si="19"/>
        <v>-0.69314718055994529</v>
      </c>
    </row>
    <row r="268" spans="12:15" x14ac:dyDescent="0.15">
      <c r="L268" s="7">
        <f t="shared" si="16"/>
        <v>0</v>
      </c>
      <c r="M268" s="7">
        <f t="shared" si="17"/>
        <v>1</v>
      </c>
      <c r="N268" s="7">
        <f t="shared" si="18"/>
        <v>0.5</v>
      </c>
      <c r="O268" s="7">
        <f t="shared" si="19"/>
        <v>-0.69314718055994529</v>
      </c>
    </row>
    <row r="269" spans="12:15" x14ac:dyDescent="0.15">
      <c r="L269" s="7">
        <f t="shared" si="16"/>
        <v>0</v>
      </c>
      <c r="M269" s="7">
        <f t="shared" si="17"/>
        <v>1</v>
      </c>
      <c r="N269" s="7">
        <f t="shared" si="18"/>
        <v>0.5</v>
      </c>
      <c r="O269" s="7">
        <f t="shared" si="19"/>
        <v>-0.69314718055994529</v>
      </c>
    </row>
    <row r="270" spans="12:15" x14ac:dyDescent="0.15">
      <c r="L270" s="7">
        <f t="shared" si="16"/>
        <v>0</v>
      </c>
      <c r="M270" s="7">
        <f t="shared" si="17"/>
        <v>1</v>
      </c>
      <c r="N270" s="7">
        <f t="shared" si="18"/>
        <v>0.5</v>
      </c>
      <c r="O270" s="7">
        <f t="shared" si="19"/>
        <v>-0.69314718055994529</v>
      </c>
    </row>
    <row r="271" spans="12:15" x14ac:dyDescent="0.15">
      <c r="L271" s="7">
        <f t="shared" si="16"/>
        <v>0</v>
      </c>
      <c r="M271" s="7">
        <f t="shared" si="17"/>
        <v>1</v>
      </c>
      <c r="N271" s="7">
        <f t="shared" si="18"/>
        <v>0.5</v>
      </c>
      <c r="O271" s="7">
        <f t="shared" si="19"/>
        <v>-0.69314718055994529</v>
      </c>
    </row>
    <row r="272" spans="12:15" x14ac:dyDescent="0.15">
      <c r="L272" s="7">
        <f t="shared" si="16"/>
        <v>0</v>
      </c>
      <c r="M272" s="7">
        <f t="shared" si="17"/>
        <v>1</v>
      </c>
      <c r="N272" s="7">
        <f t="shared" si="18"/>
        <v>0.5</v>
      </c>
      <c r="O272" s="7">
        <f t="shared" si="19"/>
        <v>-0.69314718055994529</v>
      </c>
    </row>
    <row r="273" spans="12:15" x14ac:dyDescent="0.15">
      <c r="L273" s="7">
        <f t="shared" si="16"/>
        <v>0</v>
      </c>
      <c r="M273" s="7">
        <f t="shared" si="17"/>
        <v>1</v>
      </c>
      <c r="N273" s="7">
        <f t="shared" si="18"/>
        <v>0.5</v>
      </c>
      <c r="O273" s="7">
        <f t="shared" si="19"/>
        <v>-0.69314718055994529</v>
      </c>
    </row>
    <row r="274" spans="12:15" x14ac:dyDescent="0.15">
      <c r="L274" s="7">
        <f t="shared" si="16"/>
        <v>0</v>
      </c>
      <c r="M274" s="7">
        <f t="shared" si="17"/>
        <v>1</v>
      </c>
      <c r="N274" s="7">
        <f t="shared" si="18"/>
        <v>0.5</v>
      </c>
      <c r="O274" s="7">
        <f t="shared" si="19"/>
        <v>-0.69314718055994529</v>
      </c>
    </row>
    <row r="275" spans="12:15" x14ac:dyDescent="0.15">
      <c r="L275" s="7">
        <f t="shared" si="16"/>
        <v>0</v>
      </c>
      <c r="M275" s="7">
        <f t="shared" si="17"/>
        <v>1</v>
      </c>
      <c r="N275" s="7">
        <f t="shared" si="18"/>
        <v>0.5</v>
      </c>
      <c r="O275" s="7">
        <f t="shared" si="19"/>
        <v>-0.69314718055994529</v>
      </c>
    </row>
    <row r="276" spans="12:15" x14ac:dyDescent="0.15">
      <c r="L276" s="7">
        <f t="shared" si="16"/>
        <v>0</v>
      </c>
      <c r="M276" s="7">
        <f t="shared" si="17"/>
        <v>1</v>
      </c>
      <c r="N276" s="7">
        <f t="shared" si="18"/>
        <v>0.5</v>
      </c>
      <c r="O276" s="7">
        <f t="shared" si="19"/>
        <v>-0.69314718055994529</v>
      </c>
    </row>
    <row r="277" spans="12:15" x14ac:dyDescent="0.15">
      <c r="L277" s="7">
        <f t="shared" si="16"/>
        <v>0</v>
      </c>
      <c r="M277" s="7">
        <f t="shared" si="17"/>
        <v>1</v>
      </c>
      <c r="N277" s="7">
        <f t="shared" si="18"/>
        <v>0.5</v>
      </c>
      <c r="O277" s="7">
        <f t="shared" si="19"/>
        <v>-0.69314718055994529</v>
      </c>
    </row>
    <row r="278" spans="12:15" x14ac:dyDescent="0.15">
      <c r="L278" s="7">
        <f t="shared" si="16"/>
        <v>0</v>
      </c>
      <c r="M278" s="7">
        <f t="shared" si="17"/>
        <v>1</v>
      </c>
      <c r="N278" s="7">
        <f t="shared" si="18"/>
        <v>0.5</v>
      </c>
      <c r="O278" s="7">
        <f t="shared" si="19"/>
        <v>-0.69314718055994529</v>
      </c>
    </row>
    <row r="279" spans="12:15" x14ac:dyDescent="0.15">
      <c r="L279" s="7">
        <f t="shared" si="16"/>
        <v>0</v>
      </c>
      <c r="M279" s="7">
        <f t="shared" si="17"/>
        <v>1</v>
      </c>
      <c r="N279" s="7">
        <f t="shared" si="18"/>
        <v>0.5</v>
      </c>
      <c r="O279" s="7">
        <f t="shared" si="19"/>
        <v>-0.69314718055994529</v>
      </c>
    </row>
    <row r="280" spans="12:15" x14ac:dyDescent="0.15">
      <c r="L280" s="7">
        <f t="shared" si="16"/>
        <v>0</v>
      </c>
      <c r="M280" s="7">
        <f t="shared" si="17"/>
        <v>1</v>
      </c>
      <c r="N280" s="7">
        <f t="shared" si="18"/>
        <v>0.5</v>
      </c>
      <c r="O280" s="7">
        <f t="shared" si="19"/>
        <v>-0.69314718055994529</v>
      </c>
    </row>
    <row r="281" spans="12:15" x14ac:dyDescent="0.15">
      <c r="L281" s="7">
        <f t="shared" si="16"/>
        <v>0</v>
      </c>
      <c r="M281" s="7">
        <f t="shared" si="17"/>
        <v>1</v>
      </c>
      <c r="N281" s="7">
        <f t="shared" si="18"/>
        <v>0.5</v>
      </c>
      <c r="O281" s="7">
        <f t="shared" si="19"/>
        <v>-0.69314718055994529</v>
      </c>
    </row>
    <row r="282" spans="12:15" x14ac:dyDescent="0.15">
      <c r="L282" s="7">
        <f t="shared" si="16"/>
        <v>0</v>
      </c>
      <c r="M282" s="7">
        <f t="shared" si="17"/>
        <v>1</v>
      </c>
      <c r="N282" s="7">
        <f t="shared" si="18"/>
        <v>0.5</v>
      </c>
      <c r="O282" s="7">
        <f t="shared" si="19"/>
        <v>-0.69314718055994529</v>
      </c>
    </row>
    <row r="283" spans="12:15" x14ac:dyDescent="0.15">
      <c r="L283" s="7">
        <f t="shared" si="16"/>
        <v>0</v>
      </c>
      <c r="M283" s="7">
        <f t="shared" si="17"/>
        <v>1</v>
      </c>
      <c r="N283" s="7">
        <f t="shared" si="18"/>
        <v>0.5</v>
      </c>
      <c r="O283" s="7">
        <f t="shared" si="19"/>
        <v>-0.69314718055994529</v>
      </c>
    </row>
    <row r="284" spans="12:15" x14ac:dyDescent="0.15">
      <c r="L284" s="7">
        <f t="shared" si="16"/>
        <v>0</v>
      </c>
      <c r="M284" s="7">
        <f t="shared" si="17"/>
        <v>1</v>
      </c>
      <c r="N284" s="7">
        <f t="shared" si="18"/>
        <v>0.5</v>
      </c>
      <c r="O284" s="7">
        <f t="shared" si="19"/>
        <v>-0.69314718055994529</v>
      </c>
    </row>
    <row r="285" spans="12:15" x14ac:dyDescent="0.15">
      <c r="L285" s="7">
        <f t="shared" si="16"/>
        <v>0</v>
      </c>
      <c r="M285" s="7">
        <f t="shared" si="17"/>
        <v>1</v>
      </c>
      <c r="N285" s="7">
        <f t="shared" si="18"/>
        <v>0.5</v>
      </c>
      <c r="O285" s="7">
        <f t="shared" si="19"/>
        <v>-0.69314718055994529</v>
      </c>
    </row>
    <row r="286" spans="12:15" x14ac:dyDescent="0.15">
      <c r="L286" s="7">
        <f t="shared" si="16"/>
        <v>0</v>
      </c>
      <c r="M286" s="7">
        <f t="shared" si="17"/>
        <v>1</v>
      </c>
      <c r="N286" s="7">
        <f t="shared" si="18"/>
        <v>0.5</v>
      </c>
      <c r="O286" s="7">
        <f t="shared" si="19"/>
        <v>-0.69314718055994529</v>
      </c>
    </row>
    <row r="287" spans="12:15" x14ac:dyDescent="0.15">
      <c r="L287" s="7">
        <f t="shared" si="16"/>
        <v>0</v>
      </c>
      <c r="M287" s="7">
        <f t="shared" si="17"/>
        <v>1</v>
      </c>
      <c r="N287" s="7">
        <f t="shared" si="18"/>
        <v>0.5</v>
      </c>
      <c r="O287" s="7">
        <f t="shared" si="19"/>
        <v>-0.69314718055994529</v>
      </c>
    </row>
    <row r="288" spans="12:15" x14ac:dyDescent="0.15">
      <c r="L288" s="7">
        <f t="shared" si="16"/>
        <v>0</v>
      </c>
      <c r="M288" s="7">
        <f t="shared" si="17"/>
        <v>1</v>
      </c>
      <c r="N288" s="7">
        <f t="shared" si="18"/>
        <v>0.5</v>
      </c>
      <c r="O288" s="7">
        <f t="shared" si="19"/>
        <v>-0.69314718055994529</v>
      </c>
    </row>
    <row r="289" spans="12:15" x14ac:dyDescent="0.15">
      <c r="L289" s="7">
        <f t="shared" si="16"/>
        <v>0</v>
      </c>
      <c r="M289" s="7">
        <f t="shared" si="17"/>
        <v>1</v>
      </c>
      <c r="N289" s="7">
        <f t="shared" si="18"/>
        <v>0.5</v>
      </c>
      <c r="O289" s="7">
        <f t="shared" si="19"/>
        <v>-0.69314718055994529</v>
      </c>
    </row>
    <row r="290" spans="12:15" x14ac:dyDescent="0.15">
      <c r="L290" s="7">
        <f t="shared" si="16"/>
        <v>0</v>
      </c>
      <c r="M290" s="7">
        <f t="shared" si="17"/>
        <v>1</v>
      </c>
      <c r="N290" s="7">
        <f t="shared" si="18"/>
        <v>0.5</v>
      </c>
      <c r="O290" s="7">
        <f t="shared" si="19"/>
        <v>-0.69314718055994529</v>
      </c>
    </row>
    <row r="291" spans="12:15" x14ac:dyDescent="0.15">
      <c r="L291" s="7">
        <f t="shared" si="16"/>
        <v>0</v>
      </c>
      <c r="M291" s="7">
        <f t="shared" si="17"/>
        <v>1</v>
      </c>
      <c r="N291" s="7">
        <f t="shared" si="18"/>
        <v>0.5</v>
      </c>
      <c r="O291" s="7">
        <f t="shared" si="19"/>
        <v>-0.69314718055994529</v>
      </c>
    </row>
    <row r="292" spans="12:15" x14ac:dyDescent="0.15">
      <c r="L292" s="7">
        <f t="shared" si="16"/>
        <v>0</v>
      </c>
      <c r="M292" s="7">
        <f t="shared" si="17"/>
        <v>1</v>
      </c>
      <c r="N292" s="7">
        <f t="shared" si="18"/>
        <v>0.5</v>
      </c>
      <c r="O292" s="7">
        <f t="shared" si="19"/>
        <v>-0.69314718055994529</v>
      </c>
    </row>
    <row r="293" spans="12:15" x14ac:dyDescent="0.15">
      <c r="L293" s="7">
        <f t="shared" si="16"/>
        <v>0</v>
      </c>
      <c r="M293" s="7">
        <f t="shared" si="17"/>
        <v>1</v>
      </c>
      <c r="N293" s="7">
        <f t="shared" si="18"/>
        <v>0.5</v>
      </c>
      <c r="O293" s="7">
        <f t="shared" si="19"/>
        <v>-0.69314718055994529</v>
      </c>
    </row>
    <row r="294" spans="12:15" x14ac:dyDescent="0.15">
      <c r="L294" s="7">
        <f t="shared" si="16"/>
        <v>0</v>
      </c>
      <c r="M294" s="7">
        <f t="shared" si="17"/>
        <v>1</v>
      </c>
      <c r="N294" s="7">
        <f t="shared" si="18"/>
        <v>0.5</v>
      </c>
      <c r="O294" s="7">
        <f t="shared" si="19"/>
        <v>-0.69314718055994529</v>
      </c>
    </row>
    <row r="295" spans="12:15" x14ac:dyDescent="0.15">
      <c r="L295" s="7">
        <f t="shared" si="16"/>
        <v>0</v>
      </c>
      <c r="M295" s="7">
        <f t="shared" si="17"/>
        <v>1</v>
      </c>
      <c r="N295" s="7">
        <f t="shared" si="18"/>
        <v>0.5</v>
      </c>
      <c r="O295" s="7">
        <f t="shared" si="19"/>
        <v>-0.69314718055994529</v>
      </c>
    </row>
    <row r="296" spans="12:15" x14ac:dyDescent="0.15">
      <c r="L296" s="7">
        <f t="shared" si="16"/>
        <v>0</v>
      </c>
      <c r="M296" s="7">
        <f t="shared" si="17"/>
        <v>1</v>
      </c>
      <c r="N296" s="7">
        <f t="shared" si="18"/>
        <v>0.5</v>
      </c>
      <c r="O296" s="7">
        <f t="shared" si="19"/>
        <v>-0.69314718055994529</v>
      </c>
    </row>
    <row r="297" spans="12:15" x14ac:dyDescent="0.15">
      <c r="L297" s="7">
        <f t="shared" si="16"/>
        <v>0</v>
      </c>
      <c r="M297" s="7">
        <f t="shared" si="17"/>
        <v>1</v>
      </c>
      <c r="N297" s="7">
        <f t="shared" si="18"/>
        <v>0.5</v>
      </c>
      <c r="O297" s="7">
        <f t="shared" si="19"/>
        <v>-0.69314718055994529</v>
      </c>
    </row>
    <row r="298" spans="12:15" x14ac:dyDescent="0.15">
      <c r="L298" s="7">
        <f t="shared" si="16"/>
        <v>0</v>
      </c>
      <c r="M298" s="7">
        <f t="shared" si="17"/>
        <v>1</v>
      </c>
      <c r="N298" s="7">
        <f t="shared" si="18"/>
        <v>0.5</v>
      </c>
      <c r="O298" s="7">
        <f t="shared" si="19"/>
        <v>-0.69314718055994529</v>
      </c>
    </row>
    <row r="299" spans="12:15" x14ac:dyDescent="0.15">
      <c r="L299" s="7">
        <f t="shared" si="16"/>
        <v>0</v>
      </c>
      <c r="M299" s="7">
        <f t="shared" si="17"/>
        <v>1</v>
      </c>
      <c r="N299" s="7">
        <f t="shared" si="18"/>
        <v>0.5</v>
      </c>
      <c r="O299" s="7">
        <f t="shared" si="19"/>
        <v>-0.69314718055994529</v>
      </c>
    </row>
    <row r="300" spans="12:15" x14ac:dyDescent="0.15">
      <c r="L300" s="7">
        <f t="shared" si="16"/>
        <v>0</v>
      </c>
      <c r="M300" s="7">
        <f t="shared" si="17"/>
        <v>1</v>
      </c>
      <c r="N300" s="7">
        <f t="shared" si="18"/>
        <v>0.5</v>
      </c>
      <c r="O300" s="7">
        <f t="shared" si="19"/>
        <v>-0.69314718055994529</v>
      </c>
    </row>
    <row r="301" spans="12:15" x14ac:dyDescent="0.15">
      <c r="L301" s="7">
        <f t="shared" si="16"/>
        <v>0</v>
      </c>
      <c r="M301" s="7">
        <f t="shared" si="17"/>
        <v>1</v>
      </c>
      <c r="N301" s="7">
        <f t="shared" si="18"/>
        <v>0.5</v>
      </c>
      <c r="O301" s="7">
        <f t="shared" si="19"/>
        <v>-0.69314718055994529</v>
      </c>
    </row>
    <row r="302" spans="12:15" x14ac:dyDescent="0.15">
      <c r="L302" s="7">
        <f t="shared" si="16"/>
        <v>0</v>
      </c>
      <c r="M302" s="7">
        <f t="shared" si="17"/>
        <v>1</v>
      </c>
      <c r="N302" s="7">
        <f t="shared" si="18"/>
        <v>0.5</v>
      </c>
      <c r="O302" s="7">
        <f t="shared" si="19"/>
        <v>-0.69314718055994529</v>
      </c>
    </row>
    <row r="303" spans="12:15" x14ac:dyDescent="0.15">
      <c r="L303" s="7">
        <f t="shared" si="16"/>
        <v>0</v>
      </c>
      <c r="M303" s="7">
        <f t="shared" si="17"/>
        <v>1</v>
      </c>
      <c r="N303" s="7">
        <f t="shared" si="18"/>
        <v>0.5</v>
      </c>
      <c r="O303" s="7">
        <f t="shared" si="19"/>
        <v>-0.69314718055994529</v>
      </c>
    </row>
    <row r="304" spans="12:15" x14ac:dyDescent="0.15">
      <c r="L304" s="7">
        <f t="shared" si="16"/>
        <v>0</v>
      </c>
      <c r="M304" s="7">
        <f t="shared" si="17"/>
        <v>1</v>
      </c>
      <c r="N304" s="7">
        <f t="shared" si="18"/>
        <v>0.5</v>
      </c>
      <c r="O304" s="7">
        <f t="shared" si="19"/>
        <v>-0.69314718055994529</v>
      </c>
    </row>
    <row r="305" spans="12:15" x14ac:dyDescent="0.15">
      <c r="L305" s="7">
        <f t="shared" si="16"/>
        <v>0</v>
      </c>
      <c r="M305" s="7">
        <f t="shared" si="17"/>
        <v>1</v>
      </c>
      <c r="N305" s="7">
        <f t="shared" si="18"/>
        <v>0.5</v>
      </c>
      <c r="O305" s="7">
        <f t="shared" si="19"/>
        <v>-0.69314718055994529</v>
      </c>
    </row>
    <row r="306" spans="12:15" x14ac:dyDescent="0.15">
      <c r="L306" s="7">
        <f t="shared" si="16"/>
        <v>0</v>
      </c>
      <c r="M306" s="7">
        <f t="shared" si="17"/>
        <v>1</v>
      </c>
      <c r="N306" s="7">
        <f t="shared" si="18"/>
        <v>0.5</v>
      </c>
      <c r="O306" s="7">
        <f t="shared" si="19"/>
        <v>-0.69314718055994529</v>
      </c>
    </row>
    <row r="307" spans="12:15" x14ac:dyDescent="0.15">
      <c r="L307" s="7">
        <f t="shared" si="16"/>
        <v>0</v>
      </c>
      <c r="M307" s="7">
        <f t="shared" si="17"/>
        <v>1</v>
      </c>
      <c r="N307" s="7">
        <f t="shared" si="18"/>
        <v>0.5</v>
      </c>
      <c r="O307" s="7">
        <f t="shared" si="19"/>
        <v>-0.69314718055994529</v>
      </c>
    </row>
    <row r="308" spans="12:15" x14ac:dyDescent="0.15">
      <c r="L308" s="7">
        <f t="shared" si="16"/>
        <v>0</v>
      </c>
      <c r="M308" s="7">
        <f t="shared" si="17"/>
        <v>1</v>
      </c>
      <c r="N308" s="7">
        <f t="shared" si="18"/>
        <v>0.5</v>
      </c>
      <c r="O308" s="7">
        <f t="shared" si="19"/>
        <v>-0.69314718055994529</v>
      </c>
    </row>
    <row r="309" spans="12:15" x14ac:dyDescent="0.15">
      <c r="L309" s="7">
        <f t="shared" si="16"/>
        <v>0</v>
      </c>
      <c r="M309" s="7">
        <f t="shared" si="17"/>
        <v>1</v>
      </c>
      <c r="N309" s="7">
        <f t="shared" si="18"/>
        <v>0.5</v>
      </c>
      <c r="O309" s="7">
        <f t="shared" si="19"/>
        <v>-0.69314718055994529</v>
      </c>
    </row>
    <row r="310" spans="12:15" x14ac:dyDescent="0.15">
      <c r="L310" s="7">
        <f t="shared" si="16"/>
        <v>0</v>
      </c>
      <c r="M310" s="7">
        <f t="shared" si="17"/>
        <v>1</v>
      </c>
      <c r="N310" s="7">
        <f t="shared" si="18"/>
        <v>0.5</v>
      </c>
      <c r="O310" s="7">
        <f t="shared" si="19"/>
        <v>-0.69314718055994529</v>
      </c>
    </row>
    <row r="311" spans="12:15" x14ac:dyDescent="0.15">
      <c r="L311" s="7">
        <f t="shared" si="16"/>
        <v>0</v>
      </c>
      <c r="M311" s="7">
        <f t="shared" si="17"/>
        <v>1</v>
      </c>
      <c r="N311" s="7">
        <f t="shared" si="18"/>
        <v>0.5</v>
      </c>
      <c r="O311" s="7">
        <f t="shared" si="19"/>
        <v>-0.69314718055994529</v>
      </c>
    </row>
    <row r="312" spans="12:15" x14ac:dyDescent="0.15">
      <c r="L312" s="7">
        <f t="shared" si="16"/>
        <v>0</v>
      </c>
      <c r="M312" s="7">
        <f t="shared" si="17"/>
        <v>1</v>
      </c>
      <c r="N312" s="7">
        <f t="shared" si="18"/>
        <v>0.5</v>
      </c>
      <c r="O312" s="7">
        <f t="shared" si="19"/>
        <v>-0.69314718055994529</v>
      </c>
    </row>
    <row r="313" spans="12:15" x14ac:dyDescent="0.15">
      <c r="L313" s="7">
        <f t="shared" si="16"/>
        <v>0</v>
      </c>
      <c r="M313" s="7">
        <f t="shared" si="17"/>
        <v>1</v>
      </c>
      <c r="N313" s="7">
        <f t="shared" si="18"/>
        <v>0.5</v>
      </c>
      <c r="O313" s="7">
        <f t="shared" si="19"/>
        <v>-0.69314718055994529</v>
      </c>
    </row>
    <row r="314" spans="12:15" x14ac:dyDescent="0.15">
      <c r="L314" s="7">
        <f t="shared" si="16"/>
        <v>0</v>
      </c>
      <c r="M314" s="7">
        <f t="shared" si="17"/>
        <v>1</v>
      </c>
      <c r="N314" s="7">
        <f t="shared" si="18"/>
        <v>0.5</v>
      </c>
      <c r="O314" s="7">
        <f t="shared" si="19"/>
        <v>-0.69314718055994529</v>
      </c>
    </row>
    <row r="315" spans="12:15" x14ac:dyDescent="0.15">
      <c r="L315" s="7">
        <f t="shared" si="16"/>
        <v>0</v>
      </c>
      <c r="M315" s="7">
        <f t="shared" si="17"/>
        <v>1</v>
      </c>
      <c r="N315" s="7">
        <f t="shared" si="18"/>
        <v>0.5</v>
      </c>
      <c r="O315" s="7">
        <f t="shared" si="19"/>
        <v>-0.69314718055994529</v>
      </c>
    </row>
    <row r="316" spans="12:15" x14ac:dyDescent="0.15">
      <c r="L316" s="7">
        <f t="shared" si="16"/>
        <v>0</v>
      </c>
      <c r="M316" s="7">
        <f t="shared" si="17"/>
        <v>1</v>
      </c>
      <c r="N316" s="7">
        <f t="shared" si="18"/>
        <v>0.5</v>
      </c>
      <c r="O316" s="7">
        <f t="shared" si="19"/>
        <v>-0.69314718055994529</v>
      </c>
    </row>
    <row r="317" spans="12:15" x14ac:dyDescent="0.15">
      <c r="L317" s="7">
        <f t="shared" si="16"/>
        <v>0</v>
      </c>
      <c r="M317" s="7">
        <f t="shared" si="17"/>
        <v>1</v>
      </c>
      <c r="N317" s="7">
        <f t="shared" si="18"/>
        <v>0.5</v>
      </c>
      <c r="O317" s="7">
        <f t="shared" si="19"/>
        <v>-0.69314718055994529</v>
      </c>
    </row>
    <row r="318" spans="12:15" x14ac:dyDescent="0.15">
      <c r="L318" s="7">
        <f t="shared" si="16"/>
        <v>0</v>
      </c>
      <c r="M318" s="7">
        <f t="shared" si="17"/>
        <v>1</v>
      </c>
      <c r="N318" s="7">
        <f t="shared" si="18"/>
        <v>0.5</v>
      </c>
      <c r="O318" s="7">
        <f t="shared" si="19"/>
        <v>-0.69314718055994529</v>
      </c>
    </row>
    <row r="319" spans="12:15" x14ac:dyDescent="0.15">
      <c r="L319" s="7">
        <f t="shared" si="16"/>
        <v>0</v>
      </c>
      <c r="M319" s="7">
        <f t="shared" si="17"/>
        <v>1</v>
      </c>
      <c r="N319" s="7">
        <f t="shared" si="18"/>
        <v>0.5</v>
      </c>
      <c r="O319" s="7">
        <f t="shared" si="19"/>
        <v>-0.69314718055994529</v>
      </c>
    </row>
    <row r="320" spans="12:15" x14ac:dyDescent="0.15">
      <c r="L320" s="7">
        <f t="shared" si="16"/>
        <v>0</v>
      </c>
      <c r="M320" s="7">
        <f t="shared" si="17"/>
        <v>1</v>
      </c>
      <c r="N320" s="7">
        <f t="shared" si="18"/>
        <v>0.5</v>
      </c>
      <c r="O320" s="7">
        <f t="shared" si="19"/>
        <v>-0.69314718055994529</v>
      </c>
    </row>
    <row r="321" spans="12:15" x14ac:dyDescent="0.15">
      <c r="L321" s="7">
        <f t="shared" si="16"/>
        <v>0</v>
      </c>
      <c r="M321" s="7">
        <f t="shared" si="17"/>
        <v>1</v>
      </c>
      <c r="N321" s="7">
        <f t="shared" si="18"/>
        <v>0.5</v>
      </c>
      <c r="O321" s="7">
        <f t="shared" si="19"/>
        <v>-0.69314718055994529</v>
      </c>
    </row>
    <row r="322" spans="12:15" x14ac:dyDescent="0.15">
      <c r="L322" s="7">
        <f t="shared" si="16"/>
        <v>0</v>
      </c>
      <c r="M322" s="7">
        <f t="shared" si="17"/>
        <v>1</v>
      </c>
      <c r="N322" s="7">
        <f t="shared" si="18"/>
        <v>0.5</v>
      </c>
      <c r="O322" s="7">
        <f t="shared" si="19"/>
        <v>-0.69314718055994529</v>
      </c>
    </row>
    <row r="323" spans="12:15" x14ac:dyDescent="0.15">
      <c r="L323" s="7">
        <f t="shared" ref="L323:L386" si="20">$Q$1 + $Q$2*B323+$Q$3*C323+ $Q$4*D323+$Q$5*E323+$Q$6*F323+$Q$7*G323+H323*$Q$8+I323*$Q$9+J323*$Q$10+K323*$Q$11</f>
        <v>0</v>
      </c>
      <c r="M323" s="7">
        <f t="shared" ref="M323:M386" si="21">EXP(L323)</f>
        <v>1</v>
      </c>
      <c r="N323" s="7">
        <f t="shared" ref="N323:N386" si="22">1/(1+M323)</f>
        <v>0.5</v>
      </c>
      <c r="O323" s="7">
        <f t="shared" ref="O323:O386" si="23">A323*LN(N323)+(1-A323)*LN(1-N323)</f>
        <v>-0.69314718055994529</v>
      </c>
    </row>
    <row r="324" spans="12:15" x14ac:dyDescent="0.15">
      <c r="L324" s="7">
        <f t="shared" si="20"/>
        <v>0</v>
      </c>
      <c r="M324" s="7">
        <f t="shared" si="21"/>
        <v>1</v>
      </c>
      <c r="N324" s="7">
        <f t="shared" si="22"/>
        <v>0.5</v>
      </c>
      <c r="O324" s="7">
        <f t="shared" si="23"/>
        <v>-0.69314718055994529</v>
      </c>
    </row>
    <row r="325" spans="12:15" x14ac:dyDescent="0.15">
      <c r="L325" s="7">
        <f t="shared" si="20"/>
        <v>0</v>
      </c>
      <c r="M325" s="7">
        <f t="shared" si="21"/>
        <v>1</v>
      </c>
      <c r="N325" s="7">
        <f t="shared" si="22"/>
        <v>0.5</v>
      </c>
      <c r="O325" s="7">
        <f t="shared" si="23"/>
        <v>-0.69314718055994529</v>
      </c>
    </row>
    <row r="326" spans="12:15" x14ac:dyDescent="0.15">
      <c r="L326" s="7">
        <f t="shared" si="20"/>
        <v>0</v>
      </c>
      <c r="M326" s="7">
        <f t="shared" si="21"/>
        <v>1</v>
      </c>
      <c r="N326" s="7">
        <f t="shared" si="22"/>
        <v>0.5</v>
      </c>
      <c r="O326" s="7">
        <f t="shared" si="23"/>
        <v>-0.69314718055994529</v>
      </c>
    </row>
    <row r="327" spans="12:15" x14ac:dyDescent="0.15">
      <c r="L327" s="7">
        <f t="shared" si="20"/>
        <v>0</v>
      </c>
      <c r="M327" s="7">
        <f t="shared" si="21"/>
        <v>1</v>
      </c>
      <c r="N327" s="7">
        <f t="shared" si="22"/>
        <v>0.5</v>
      </c>
      <c r="O327" s="7">
        <f t="shared" si="23"/>
        <v>-0.69314718055994529</v>
      </c>
    </row>
    <row r="328" spans="12:15" x14ac:dyDescent="0.15">
      <c r="L328" s="7">
        <f t="shared" si="20"/>
        <v>0</v>
      </c>
      <c r="M328" s="7">
        <f t="shared" si="21"/>
        <v>1</v>
      </c>
      <c r="N328" s="7">
        <f t="shared" si="22"/>
        <v>0.5</v>
      </c>
      <c r="O328" s="7">
        <f t="shared" si="23"/>
        <v>-0.69314718055994529</v>
      </c>
    </row>
    <row r="329" spans="12:15" x14ac:dyDescent="0.15">
      <c r="L329" s="7">
        <f t="shared" si="20"/>
        <v>0</v>
      </c>
      <c r="M329" s="7">
        <f t="shared" si="21"/>
        <v>1</v>
      </c>
      <c r="N329" s="7">
        <f t="shared" si="22"/>
        <v>0.5</v>
      </c>
      <c r="O329" s="7">
        <f t="shared" si="23"/>
        <v>-0.69314718055994529</v>
      </c>
    </row>
    <row r="330" spans="12:15" x14ac:dyDescent="0.15">
      <c r="L330" s="7">
        <f t="shared" si="20"/>
        <v>0</v>
      </c>
      <c r="M330" s="7">
        <f t="shared" si="21"/>
        <v>1</v>
      </c>
      <c r="N330" s="7">
        <f t="shared" si="22"/>
        <v>0.5</v>
      </c>
      <c r="O330" s="7">
        <f t="shared" si="23"/>
        <v>-0.69314718055994529</v>
      </c>
    </row>
    <row r="331" spans="12:15" x14ac:dyDescent="0.15">
      <c r="L331" s="7">
        <f t="shared" si="20"/>
        <v>0</v>
      </c>
      <c r="M331" s="7">
        <f t="shared" si="21"/>
        <v>1</v>
      </c>
      <c r="N331" s="7">
        <f t="shared" si="22"/>
        <v>0.5</v>
      </c>
      <c r="O331" s="7">
        <f t="shared" si="23"/>
        <v>-0.69314718055994529</v>
      </c>
    </row>
    <row r="332" spans="12:15" x14ac:dyDescent="0.15">
      <c r="L332" s="7">
        <f t="shared" si="20"/>
        <v>0</v>
      </c>
      <c r="M332" s="7">
        <f t="shared" si="21"/>
        <v>1</v>
      </c>
      <c r="N332" s="7">
        <f t="shared" si="22"/>
        <v>0.5</v>
      </c>
      <c r="O332" s="7">
        <f t="shared" si="23"/>
        <v>-0.69314718055994529</v>
      </c>
    </row>
    <row r="333" spans="12:15" x14ac:dyDescent="0.15">
      <c r="L333" s="7">
        <f t="shared" si="20"/>
        <v>0</v>
      </c>
      <c r="M333" s="7">
        <f t="shared" si="21"/>
        <v>1</v>
      </c>
      <c r="N333" s="7">
        <f t="shared" si="22"/>
        <v>0.5</v>
      </c>
      <c r="O333" s="7">
        <f t="shared" si="23"/>
        <v>-0.69314718055994529</v>
      </c>
    </row>
    <row r="334" spans="12:15" x14ac:dyDescent="0.15">
      <c r="L334" s="7">
        <f t="shared" si="20"/>
        <v>0</v>
      </c>
      <c r="M334" s="7">
        <f t="shared" si="21"/>
        <v>1</v>
      </c>
      <c r="N334" s="7">
        <f t="shared" si="22"/>
        <v>0.5</v>
      </c>
      <c r="O334" s="7">
        <f t="shared" si="23"/>
        <v>-0.69314718055994529</v>
      </c>
    </row>
    <row r="335" spans="12:15" x14ac:dyDescent="0.15">
      <c r="L335" s="7">
        <f t="shared" si="20"/>
        <v>0</v>
      </c>
      <c r="M335" s="7">
        <f t="shared" si="21"/>
        <v>1</v>
      </c>
      <c r="N335" s="7">
        <f t="shared" si="22"/>
        <v>0.5</v>
      </c>
      <c r="O335" s="7">
        <f t="shared" si="23"/>
        <v>-0.69314718055994529</v>
      </c>
    </row>
    <row r="336" spans="12:15" x14ac:dyDescent="0.15">
      <c r="L336" s="7">
        <f t="shared" si="20"/>
        <v>0</v>
      </c>
      <c r="M336" s="7">
        <f t="shared" si="21"/>
        <v>1</v>
      </c>
      <c r="N336" s="7">
        <f t="shared" si="22"/>
        <v>0.5</v>
      </c>
      <c r="O336" s="7">
        <f t="shared" si="23"/>
        <v>-0.69314718055994529</v>
      </c>
    </row>
    <row r="337" spans="12:15" x14ac:dyDescent="0.15">
      <c r="L337" s="7">
        <f t="shared" si="20"/>
        <v>0</v>
      </c>
      <c r="M337" s="7">
        <f t="shared" si="21"/>
        <v>1</v>
      </c>
      <c r="N337" s="7">
        <f t="shared" si="22"/>
        <v>0.5</v>
      </c>
      <c r="O337" s="7">
        <f t="shared" si="23"/>
        <v>-0.69314718055994529</v>
      </c>
    </row>
    <row r="338" spans="12:15" x14ac:dyDescent="0.15">
      <c r="L338" s="7">
        <f t="shared" si="20"/>
        <v>0</v>
      </c>
      <c r="M338" s="7">
        <f t="shared" si="21"/>
        <v>1</v>
      </c>
      <c r="N338" s="7">
        <f t="shared" si="22"/>
        <v>0.5</v>
      </c>
      <c r="O338" s="7">
        <f t="shared" si="23"/>
        <v>-0.69314718055994529</v>
      </c>
    </row>
    <row r="339" spans="12:15" x14ac:dyDescent="0.15">
      <c r="L339" s="7">
        <f t="shared" si="20"/>
        <v>0</v>
      </c>
      <c r="M339" s="7">
        <f t="shared" si="21"/>
        <v>1</v>
      </c>
      <c r="N339" s="7">
        <f t="shared" si="22"/>
        <v>0.5</v>
      </c>
      <c r="O339" s="7">
        <f t="shared" si="23"/>
        <v>-0.69314718055994529</v>
      </c>
    </row>
    <row r="340" spans="12:15" x14ac:dyDescent="0.15">
      <c r="L340" s="7">
        <f t="shared" si="20"/>
        <v>0</v>
      </c>
      <c r="M340" s="7">
        <f t="shared" si="21"/>
        <v>1</v>
      </c>
      <c r="N340" s="7">
        <f t="shared" si="22"/>
        <v>0.5</v>
      </c>
      <c r="O340" s="7">
        <f t="shared" si="23"/>
        <v>-0.69314718055994529</v>
      </c>
    </row>
    <row r="341" spans="12:15" x14ac:dyDescent="0.15">
      <c r="L341" s="7">
        <f t="shared" si="20"/>
        <v>0</v>
      </c>
      <c r="M341" s="7">
        <f t="shared" si="21"/>
        <v>1</v>
      </c>
      <c r="N341" s="7">
        <f t="shared" si="22"/>
        <v>0.5</v>
      </c>
      <c r="O341" s="7">
        <f t="shared" si="23"/>
        <v>-0.69314718055994529</v>
      </c>
    </row>
    <row r="342" spans="12:15" x14ac:dyDescent="0.15">
      <c r="L342" s="7">
        <f t="shared" si="20"/>
        <v>0</v>
      </c>
      <c r="M342" s="7">
        <f t="shared" si="21"/>
        <v>1</v>
      </c>
      <c r="N342" s="7">
        <f t="shared" si="22"/>
        <v>0.5</v>
      </c>
      <c r="O342" s="7">
        <f t="shared" si="23"/>
        <v>-0.69314718055994529</v>
      </c>
    </row>
    <row r="343" spans="12:15" x14ac:dyDescent="0.15">
      <c r="L343" s="7">
        <f t="shared" si="20"/>
        <v>0</v>
      </c>
      <c r="M343" s="7">
        <f t="shared" si="21"/>
        <v>1</v>
      </c>
      <c r="N343" s="7">
        <f t="shared" si="22"/>
        <v>0.5</v>
      </c>
      <c r="O343" s="7">
        <f t="shared" si="23"/>
        <v>-0.69314718055994529</v>
      </c>
    </row>
    <row r="344" spans="12:15" x14ac:dyDescent="0.15">
      <c r="L344" s="7">
        <f t="shared" si="20"/>
        <v>0</v>
      </c>
      <c r="M344" s="7">
        <f t="shared" si="21"/>
        <v>1</v>
      </c>
      <c r="N344" s="7">
        <f t="shared" si="22"/>
        <v>0.5</v>
      </c>
      <c r="O344" s="7">
        <f t="shared" si="23"/>
        <v>-0.69314718055994529</v>
      </c>
    </row>
    <row r="345" spans="12:15" x14ac:dyDescent="0.15">
      <c r="L345" s="7">
        <f t="shared" si="20"/>
        <v>0</v>
      </c>
      <c r="M345" s="7">
        <f t="shared" si="21"/>
        <v>1</v>
      </c>
      <c r="N345" s="7">
        <f t="shared" si="22"/>
        <v>0.5</v>
      </c>
      <c r="O345" s="7">
        <f t="shared" si="23"/>
        <v>-0.69314718055994529</v>
      </c>
    </row>
    <row r="346" spans="12:15" x14ac:dyDescent="0.15">
      <c r="L346" s="7">
        <f t="shared" si="20"/>
        <v>0</v>
      </c>
      <c r="M346" s="7">
        <f t="shared" si="21"/>
        <v>1</v>
      </c>
      <c r="N346" s="7">
        <f t="shared" si="22"/>
        <v>0.5</v>
      </c>
      <c r="O346" s="7">
        <f t="shared" si="23"/>
        <v>-0.69314718055994529</v>
      </c>
    </row>
    <row r="347" spans="12:15" x14ac:dyDescent="0.15">
      <c r="L347" s="7">
        <f t="shared" si="20"/>
        <v>0</v>
      </c>
      <c r="M347" s="7">
        <f t="shared" si="21"/>
        <v>1</v>
      </c>
      <c r="N347" s="7">
        <f t="shared" si="22"/>
        <v>0.5</v>
      </c>
      <c r="O347" s="7">
        <f t="shared" si="23"/>
        <v>-0.69314718055994529</v>
      </c>
    </row>
    <row r="348" spans="12:15" x14ac:dyDescent="0.15">
      <c r="L348" s="7">
        <f t="shared" si="20"/>
        <v>0</v>
      </c>
      <c r="M348" s="7">
        <f t="shared" si="21"/>
        <v>1</v>
      </c>
      <c r="N348" s="7">
        <f t="shared" si="22"/>
        <v>0.5</v>
      </c>
      <c r="O348" s="7">
        <f t="shared" si="23"/>
        <v>-0.69314718055994529</v>
      </c>
    </row>
    <row r="349" spans="12:15" x14ac:dyDescent="0.15">
      <c r="L349" s="7">
        <f t="shared" si="20"/>
        <v>0</v>
      </c>
      <c r="M349" s="7">
        <f t="shared" si="21"/>
        <v>1</v>
      </c>
      <c r="N349" s="7">
        <f t="shared" si="22"/>
        <v>0.5</v>
      </c>
      <c r="O349" s="7">
        <f t="shared" si="23"/>
        <v>-0.69314718055994529</v>
      </c>
    </row>
    <row r="350" spans="12:15" x14ac:dyDescent="0.15">
      <c r="L350" s="7">
        <f t="shared" si="20"/>
        <v>0</v>
      </c>
      <c r="M350" s="7">
        <f t="shared" si="21"/>
        <v>1</v>
      </c>
      <c r="N350" s="7">
        <f t="shared" si="22"/>
        <v>0.5</v>
      </c>
      <c r="O350" s="7">
        <f t="shared" si="23"/>
        <v>-0.69314718055994529</v>
      </c>
    </row>
    <row r="351" spans="12:15" x14ac:dyDescent="0.15">
      <c r="L351" s="7">
        <f t="shared" si="20"/>
        <v>0</v>
      </c>
      <c r="M351" s="7">
        <f t="shared" si="21"/>
        <v>1</v>
      </c>
      <c r="N351" s="7">
        <f t="shared" si="22"/>
        <v>0.5</v>
      </c>
      <c r="O351" s="7">
        <f t="shared" si="23"/>
        <v>-0.69314718055994529</v>
      </c>
    </row>
    <row r="352" spans="12:15" x14ac:dyDescent="0.15">
      <c r="L352" s="7">
        <f t="shared" si="20"/>
        <v>0</v>
      </c>
      <c r="M352" s="7">
        <f t="shared" si="21"/>
        <v>1</v>
      </c>
      <c r="N352" s="7">
        <f t="shared" si="22"/>
        <v>0.5</v>
      </c>
      <c r="O352" s="7">
        <f t="shared" si="23"/>
        <v>-0.69314718055994529</v>
      </c>
    </row>
    <row r="353" spans="12:15" x14ac:dyDescent="0.15">
      <c r="L353" s="7">
        <f t="shared" si="20"/>
        <v>0</v>
      </c>
      <c r="M353" s="7">
        <f t="shared" si="21"/>
        <v>1</v>
      </c>
      <c r="N353" s="7">
        <f t="shared" si="22"/>
        <v>0.5</v>
      </c>
      <c r="O353" s="7">
        <f t="shared" si="23"/>
        <v>-0.69314718055994529</v>
      </c>
    </row>
    <row r="354" spans="12:15" x14ac:dyDescent="0.15">
      <c r="L354" s="7">
        <f t="shared" si="20"/>
        <v>0</v>
      </c>
      <c r="M354" s="7">
        <f t="shared" si="21"/>
        <v>1</v>
      </c>
      <c r="N354" s="7">
        <f t="shared" si="22"/>
        <v>0.5</v>
      </c>
      <c r="O354" s="7">
        <f t="shared" si="23"/>
        <v>-0.69314718055994529</v>
      </c>
    </row>
    <row r="355" spans="12:15" x14ac:dyDescent="0.15">
      <c r="L355" s="7">
        <f t="shared" si="20"/>
        <v>0</v>
      </c>
      <c r="M355" s="7">
        <f t="shared" si="21"/>
        <v>1</v>
      </c>
      <c r="N355" s="7">
        <f t="shared" si="22"/>
        <v>0.5</v>
      </c>
      <c r="O355" s="7">
        <f t="shared" si="23"/>
        <v>-0.69314718055994529</v>
      </c>
    </row>
    <row r="356" spans="12:15" x14ac:dyDescent="0.15">
      <c r="L356" s="7">
        <f t="shared" si="20"/>
        <v>0</v>
      </c>
      <c r="M356" s="7">
        <f t="shared" si="21"/>
        <v>1</v>
      </c>
      <c r="N356" s="7">
        <f t="shared" si="22"/>
        <v>0.5</v>
      </c>
      <c r="O356" s="7">
        <f t="shared" si="23"/>
        <v>-0.69314718055994529</v>
      </c>
    </row>
    <row r="357" spans="12:15" x14ac:dyDescent="0.15">
      <c r="L357" s="7">
        <f t="shared" si="20"/>
        <v>0</v>
      </c>
      <c r="M357" s="7">
        <f t="shared" si="21"/>
        <v>1</v>
      </c>
      <c r="N357" s="7">
        <f t="shared" si="22"/>
        <v>0.5</v>
      </c>
      <c r="O357" s="7">
        <f t="shared" si="23"/>
        <v>-0.69314718055994529</v>
      </c>
    </row>
    <row r="358" spans="12:15" x14ac:dyDescent="0.15">
      <c r="L358" s="7">
        <f t="shared" si="20"/>
        <v>0</v>
      </c>
      <c r="M358" s="7">
        <f t="shared" si="21"/>
        <v>1</v>
      </c>
      <c r="N358" s="7">
        <f t="shared" si="22"/>
        <v>0.5</v>
      </c>
      <c r="O358" s="7">
        <f t="shared" si="23"/>
        <v>-0.69314718055994529</v>
      </c>
    </row>
    <row r="359" spans="12:15" x14ac:dyDescent="0.15">
      <c r="L359" s="7">
        <f t="shared" si="20"/>
        <v>0</v>
      </c>
      <c r="M359" s="7">
        <f t="shared" si="21"/>
        <v>1</v>
      </c>
      <c r="N359" s="7">
        <f t="shared" si="22"/>
        <v>0.5</v>
      </c>
      <c r="O359" s="7">
        <f t="shared" si="23"/>
        <v>-0.69314718055994529</v>
      </c>
    </row>
    <row r="360" spans="12:15" x14ac:dyDescent="0.15">
      <c r="L360" s="7">
        <f t="shared" si="20"/>
        <v>0</v>
      </c>
      <c r="M360" s="7">
        <f t="shared" si="21"/>
        <v>1</v>
      </c>
      <c r="N360" s="7">
        <f t="shared" si="22"/>
        <v>0.5</v>
      </c>
      <c r="O360" s="7">
        <f t="shared" si="23"/>
        <v>-0.69314718055994529</v>
      </c>
    </row>
    <row r="361" spans="12:15" x14ac:dyDescent="0.15">
      <c r="L361" s="7">
        <f t="shared" si="20"/>
        <v>0</v>
      </c>
      <c r="M361" s="7">
        <f t="shared" si="21"/>
        <v>1</v>
      </c>
      <c r="N361" s="7">
        <f t="shared" si="22"/>
        <v>0.5</v>
      </c>
      <c r="O361" s="7">
        <f t="shared" si="23"/>
        <v>-0.69314718055994529</v>
      </c>
    </row>
    <row r="362" spans="12:15" x14ac:dyDescent="0.15">
      <c r="L362" s="7">
        <f t="shared" si="20"/>
        <v>0</v>
      </c>
      <c r="M362" s="7">
        <f t="shared" si="21"/>
        <v>1</v>
      </c>
      <c r="N362" s="7">
        <f t="shared" si="22"/>
        <v>0.5</v>
      </c>
      <c r="O362" s="7">
        <f t="shared" si="23"/>
        <v>-0.69314718055994529</v>
      </c>
    </row>
    <row r="363" spans="12:15" x14ac:dyDescent="0.15">
      <c r="L363" s="7">
        <f t="shared" si="20"/>
        <v>0</v>
      </c>
      <c r="M363" s="7">
        <f t="shared" si="21"/>
        <v>1</v>
      </c>
      <c r="N363" s="7">
        <f t="shared" si="22"/>
        <v>0.5</v>
      </c>
      <c r="O363" s="7">
        <f t="shared" si="23"/>
        <v>-0.69314718055994529</v>
      </c>
    </row>
    <row r="364" spans="12:15" x14ac:dyDescent="0.15">
      <c r="L364" s="7">
        <f t="shared" si="20"/>
        <v>0</v>
      </c>
      <c r="M364" s="7">
        <f t="shared" si="21"/>
        <v>1</v>
      </c>
      <c r="N364" s="7">
        <f t="shared" si="22"/>
        <v>0.5</v>
      </c>
      <c r="O364" s="7">
        <f t="shared" si="23"/>
        <v>-0.69314718055994529</v>
      </c>
    </row>
    <row r="365" spans="12:15" x14ac:dyDescent="0.15">
      <c r="L365" s="7">
        <f t="shared" si="20"/>
        <v>0</v>
      </c>
      <c r="M365" s="7">
        <f t="shared" si="21"/>
        <v>1</v>
      </c>
      <c r="N365" s="7">
        <f t="shared" si="22"/>
        <v>0.5</v>
      </c>
      <c r="O365" s="7">
        <f t="shared" si="23"/>
        <v>-0.69314718055994529</v>
      </c>
    </row>
    <row r="366" spans="12:15" x14ac:dyDescent="0.15">
      <c r="L366" s="7">
        <f t="shared" si="20"/>
        <v>0</v>
      </c>
      <c r="M366" s="7">
        <f t="shared" si="21"/>
        <v>1</v>
      </c>
      <c r="N366" s="7">
        <f t="shared" si="22"/>
        <v>0.5</v>
      </c>
      <c r="O366" s="7">
        <f t="shared" si="23"/>
        <v>-0.69314718055994529</v>
      </c>
    </row>
    <row r="367" spans="12:15" x14ac:dyDescent="0.15">
      <c r="L367" s="7">
        <f t="shared" si="20"/>
        <v>0</v>
      </c>
      <c r="M367" s="7">
        <f t="shared" si="21"/>
        <v>1</v>
      </c>
      <c r="N367" s="7">
        <f t="shared" si="22"/>
        <v>0.5</v>
      </c>
      <c r="O367" s="7">
        <f t="shared" si="23"/>
        <v>-0.69314718055994529</v>
      </c>
    </row>
    <row r="368" spans="12:15" x14ac:dyDescent="0.15">
      <c r="L368" s="7">
        <f t="shared" si="20"/>
        <v>0</v>
      </c>
      <c r="M368" s="7">
        <f t="shared" si="21"/>
        <v>1</v>
      </c>
      <c r="N368" s="7">
        <f t="shared" si="22"/>
        <v>0.5</v>
      </c>
      <c r="O368" s="7">
        <f t="shared" si="23"/>
        <v>-0.69314718055994529</v>
      </c>
    </row>
    <row r="369" spans="12:15" x14ac:dyDescent="0.15">
      <c r="L369" s="7">
        <f t="shared" si="20"/>
        <v>0</v>
      </c>
      <c r="M369" s="7">
        <f t="shared" si="21"/>
        <v>1</v>
      </c>
      <c r="N369" s="7">
        <f t="shared" si="22"/>
        <v>0.5</v>
      </c>
      <c r="O369" s="7">
        <f t="shared" si="23"/>
        <v>-0.69314718055994529</v>
      </c>
    </row>
    <row r="370" spans="12:15" x14ac:dyDescent="0.15">
      <c r="L370" s="7">
        <f t="shared" si="20"/>
        <v>0</v>
      </c>
      <c r="M370" s="7">
        <f t="shared" si="21"/>
        <v>1</v>
      </c>
      <c r="N370" s="7">
        <f t="shared" si="22"/>
        <v>0.5</v>
      </c>
      <c r="O370" s="7">
        <f t="shared" si="23"/>
        <v>-0.69314718055994529</v>
      </c>
    </row>
    <row r="371" spans="12:15" x14ac:dyDescent="0.15">
      <c r="L371" s="7">
        <f t="shared" si="20"/>
        <v>0</v>
      </c>
      <c r="M371" s="7">
        <f t="shared" si="21"/>
        <v>1</v>
      </c>
      <c r="N371" s="7">
        <f t="shared" si="22"/>
        <v>0.5</v>
      </c>
      <c r="O371" s="7">
        <f t="shared" si="23"/>
        <v>-0.69314718055994529</v>
      </c>
    </row>
    <row r="372" spans="12:15" x14ac:dyDescent="0.15">
      <c r="L372" s="7">
        <f t="shared" si="20"/>
        <v>0</v>
      </c>
      <c r="M372" s="7">
        <f t="shared" si="21"/>
        <v>1</v>
      </c>
      <c r="N372" s="7">
        <f t="shared" si="22"/>
        <v>0.5</v>
      </c>
      <c r="O372" s="7">
        <f t="shared" si="23"/>
        <v>-0.69314718055994529</v>
      </c>
    </row>
    <row r="373" spans="12:15" x14ac:dyDescent="0.15">
      <c r="L373" s="7">
        <f t="shared" si="20"/>
        <v>0</v>
      </c>
      <c r="M373" s="7">
        <f t="shared" si="21"/>
        <v>1</v>
      </c>
      <c r="N373" s="7">
        <f t="shared" si="22"/>
        <v>0.5</v>
      </c>
      <c r="O373" s="7">
        <f t="shared" si="23"/>
        <v>-0.69314718055994529</v>
      </c>
    </row>
    <row r="374" spans="12:15" x14ac:dyDescent="0.15">
      <c r="L374" s="7">
        <f t="shared" si="20"/>
        <v>0</v>
      </c>
      <c r="M374" s="7">
        <f t="shared" si="21"/>
        <v>1</v>
      </c>
      <c r="N374" s="7">
        <f t="shared" si="22"/>
        <v>0.5</v>
      </c>
      <c r="O374" s="7">
        <f t="shared" si="23"/>
        <v>-0.69314718055994529</v>
      </c>
    </row>
    <row r="375" spans="12:15" x14ac:dyDescent="0.15">
      <c r="L375" s="7">
        <f t="shared" si="20"/>
        <v>0</v>
      </c>
      <c r="M375" s="7">
        <f t="shared" si="21"/>
        <v>1</v>
      </c>
      <c r="N375" s="7">
        <f t="shared" si="22"/>
        <v>0.5</v>
      </c>
      <c r="O375" s="7">
        <f t="shared" si="23"/>
        <v>-0.69314718055994529</v>
      </c>
    </row>
    <row r="376" spans="12:15" x14ac:dyDescent="0.15">
      <c r="L376" s="7">
        <f t="shared" si="20"/>
        <v>0</v>
      </c>
      <c r="M376" s="7">
        <f t="shared" si="21"/>
        <v>1</v>
      </c>
      <c r="N376" s="7">
        <f t="shared" si="22"/>
        <v>0.5</v>
      </c>
      <c r="O376" s="7">
        <f t="shared" si="23"/>
        <v>-0.69314718055994529</v>
      </c>
    </row>
    <row r="377" spans="12:15" x14ac:dyDescent="0.15">
      <c r="L377" s="7">
        <f t="shared" si="20"/>
        <v>0</v>
      </c>
      <c r="M377" s="7">
        <f t="shared" si="21"/>
        <v>1</v>
      </c>
      <c r="N377" s="7">
        <f t="shared" si="22"/>
        <v>0.5</v>
      </c>
      <c r="O377" s="7">
        <f t="shared" si="23"/>
        <v>-0.69314718055994529</v>
      </c>
    </row>
    <row r="378" spans="12:15" x14ac:dyDescent="0.15">
      <c r="L378" s="7">
        <f t="shared" si="20"/>
        <v>0</v>
      </c>
      <c r="M378" s="7">
        <f t="shared" si="21"/>
        <v>1</v>
      </c>
      <c r="N378" s="7">
        <f t="shared" si="22"/>
        <v>0.5</v>
      </c>
      <c r="O378" s="7">
        <f t="shared" si="23"/>
        <v>-0.69314718055994529</v>
      </c>
    </row>
    <row r="379" spans="12:15" x14ac:dyDescent="0.15">
      <c r="L379" s="7">
        <f t="shared" si="20"/>
        <v>0</v>
      </c>
      <c r="M379" s="7">
        <f t="shared" si="21"/>
        <v>1</v>
      </c>
      <c r="N379" s="7">
        <f t="shared" si="22"/>
        <v>0.5</v>
      </c>
      <c r="O379" s="7">
        <f t="shared" si="23"/>
        <v>-0.69314718055994529</v>
      </c>
    </row>
    <row r="380" spans="12:15" x14ac:dyDescent="0.15">
      <c r="L380" s="7">
        <f t="shared" si="20"/>
        <v>0</v>
      </c>
      <c r="M380" s="7">
        <f t="shared" si="21"/>
        <v>1</v>
      </c>
      <c r="N380" s="7">
        <f t="shared" si="22"/>
        <v>0.5</v>
      </c>
      <c r="O380" s="7">
        <f t="shared" si="23"/>
        <v>-0.69314718055994529</v>
      </c>
    </row>
    <row r="381" spans="12:15" x14ac:dyDescent="0.15">
      <c r="L381" s="7">
        <f t="shared" si="20"/>
        <v>0</v>
      </c>
      <c r="M381" s="7">
        <f t="shared" si="21"/>
        <v>1</v>
      </c>
      <c r="N381" s="7">
        <f t="shared" si="22"/>
        <v>0.5</v>
      </c>
      <c r="O381" s="7">
        <f t="shared" si="23"/>
        <v>-0.69314718055994529</v>
      </c>
    </row>
    <row r="382" spans="12:15" x14ac:dyDescent="0.15">
      <c r="L382" s="7">
        <f t="shared" si="20"/>
        <v>0</v>
      </c>
      <c r="M382" s="7">
        <f t="shared" si="21"/>
        <v>1</v>
      </c>
      <c r="N382" s="7">
        <f t="shared" si="22"/>
        <v>0.5</v>
      </c>
      <c r="O382" s="7">
        <f t="shared" si="23"/>
        <v>-0.69314718055994529</v>
      </c>
    </row>
    <row r="383" spans="12:15" x14ac:dyDescent="0.15">
      <c r="L383" s="7">
        <f t="shared" si="20"/>
        <v>0</v>
      </c>
      <c r="M383" s="7">
        <f t="shared" si="21"/>
        <v>1</v>
      </c>
      <c r="N383" s="7">
        <f t="shared" si="22"/>
        <v>0.5</v>
      </c>
      <c r="O383" s="7">
        <f t="shared" si="23"/>
        <v>-0.69314718055994529</v>
      </c>
    </row>
    <row r="384" spans="12:15" x14ac:dyDescent="0.15">
      <c r="L384" s="7">
        <f t="shared" si="20"/>
        <v>0</v>
      </c>
      <c r="M384" s="7">
        <f t="shared" si="21"/>
        <v>1</v>
      </c>
      <c r="N384" s="7">
        <f t="shared" si="22"/>
        <v>0.5</v>
      </c>
      <c r="O384" s="7">
        <f t="shared" si="23"/>
        <v>-0.69314718055994529</v>
      </c>
    </row>
    <row r="385" spans="12:15" x14ac:dyDescent="0.15">
      <c r="L385" s="7">
        <f t="shared" si="20"/>
        <v>0</v>
      </c>
      <c r="M385" s="7">
        <f t="shared" si="21"/>
        <v>1</v>
      </c>
      <c r="N385" s="7">
        <f t="shared" si="22"/>
        <v>0.5</v>
      </c>
      <c r="O385" s="7">
        <f t="shared" si="23"/>
        <v>-0.69314718055994529</v>
      </c>
    </row>
    <row r="386" spans="12:15" x14ac:dyDescent="0.15">
      <c r="L386" s="7">
        <f t="shared" si="20"/>
        <v>0</v>
      </c>
      <c r="M386" s="7">
        <f t="shared" si="21"/>
        <v>1</v>
      </c>
      <c r="N386" s="7">
        <f t="shared" si="22"/>
        <v>0.5</v>
      </c>
      <c r="O386" s="7">
        <f t="shared" si="23"/>
        <v>-0.69314718055994529</v>
      </c>
    </row>
    <row r="387" spans="12:15" x14ac:dyDescent="0.15">
      <c r="L387" s="7">
        <f t="shared" ref="L387:L450" si="24">$Q$1 + $Q$2*B387+$Q$3*C387+ $Q$4*D387+$Q$5*E387+$Q$6*F387+$Q$7*G387+H387*$Q$8+I387*$Q$9+J387*$Q$10+K387*$Q$11</f>
        <v>0</v>
      </c>
      <c r="M387" s="7">
        <f t="shared" ref="M387:M450" si="25">EXP(L387)</f>
        <v>1</v>
      </c>
      <c r="N387" s="7">
        <f t="shared" ref="N387:N450" si="26">1/(1+M387)</f>
        <v>0.5</v>
      </c>
      <c r="O387" s="7">
        <f t="shared" ref="O387:O450" si="27">A387*LN(N387)+(1-A387)*LN(1-N387)</f>
        <v>-0.69314718055994529</v>
      </c>
    </row>
    <row r="388" spans="12:15" x14ac:dyDescent="0.15">
      <c r="L388" s="7">
        <f t="shared" si="24"/>
        <v>0</v>
      </c>
      <c r="M388" s="7">
        <f t="shared" si="25"/>
        <v>1</v>
      </c>
      <c r="N388" s="7">
        <f t="shared" si="26"/>
        <v>0.5</v>
      </c>
      <c r="O388" s="7">
        <f t="shared" si="27"/>
        <v>-0.69314718055994529</v>
      </c>
    </row>
    <row r="389" spans="12:15" x14ac:dyDescent="0.15">
      <c r="L389" s="7">
        <f t="shared" si="24"/>
        <v>0</v>
      </c>
      <c r="M389" s="7">
        <f t="shared" si="25"/>
        <v>1</v>
      </c>
      <c r="N389" s="7">
        <f t="shared" si="26"/>
        <v>0.5</v>
      </c>
      <c r="O389" s="7">
        <f t="shared" si="27"/>
        <v>-0.69314718055994529</v>
      </c>
    </row>
    <row r="390" spans="12:15" x14ac:dyDescent="0.15">
      <c r="L390" s="7">
        <f t="shared" si="24"/>
        <v>0</v>
      </c>
      <c r="M390" s="7">
        <f t="shared" si="25"/>
        <v>1</v>
      </c>
      <c r="N390" s="7">
        <f t="shared" si="26"/>
        <v>0.5</v>
      </c>
      <c r="O390" s="7">
        <f t="shared" si="27"/>
        <v>-0.69314718055994529</v>
      </c>
    </row>
    <row r="391" spans="12:15" x14ac:dyDescent="0.15">
      <c r="L391" s="7">
        <f t="shared" si="24"/>
        <v>0</v>
      </c>
      <c r="M391" s="7">
        <f t="shared" si="25"/>
        <v>1</v>
      </c>
      <c r="N391" s="7">
        <f t="shared" si="26"/>
        <v>0.5</v>
      </c>
      <c r="O391" s="7">
        <f t="shared" si="27"/>
        <v>-0.69314718055994529</v>
      </c>
    </row>
    <row r="392" spans="12:15" x14ac:dyDescent="0.15">
      <c r="L392" s="7">
        <f t="shared" si="24"/>
        <v>0</v>
      </c>
      <c r="M392" s="7">
        <f t="shared" si="25"/>
        <v>1</v>
      </c>
      <c r="N392" s="7">
        <f t="shared" si="26"/>
        <v>0.5</v>
      </c>
      <c r="O392" s="7">
        <f t="shared" si="27"/>
        <v>-0.69314718055994529</v>
      </c>
    </row>
    <row r="393" spans="12:15" x14ac:dyDescent="0.15">
      <c r="L393" s="7">
        <f t="shared" si="24"/>
        <v>0</v>
      </c>
      <c r="M393" s="7">
        <f t="shared" si="25"/>
        <v>1</v>
      </c>
      <c r="N393" s="7">
        <f t="shared" si="26"/>
        <v>0.5</v>
      </c>
      <c r="O393" s="7">
        <f t="shared" si="27"/>
        <v>-0.69314718055994529</v>
      </c>
    </row>
    <row r="394" spans="12:15" x14ac:dyDescent="0.15">
      <c r="L394" s="7">
        <f t="shared" si="24"/>
        <v>0</v>
      </c>
      <c r="M394" s="7">
        <f t="shared" si="25"/>
        <v>1</v>
      </c>
      <c r="N394" s="7">
        <f t="shared" si="26"/>
        <v>0.5</v>
      </c>
      <c r="O394" s="7">
        <f t="shared" si="27"/>
        <v>-0.69314718055994529</v>
      </c>
    </row>
    <row r="395" spans="12:15" x14ac:dyDescent="0.15">
      <c r="L395" s="7">
        <f t="shared" si="24"/>
        <v>0</v>
      </c>
      <c r="M395" s="7">
        <f t="shared" si="25"/>
        <v>1</v>
      </c>
      <c r="N395" s="7">
        <f t="shared" si="26"/>
        <v>0.5</v>
      </c>
      <c r="O395" s="7">
        <f t="shared" si="27"/>
        <v>-0.69314718055994529</v>
      </c>
    </row>
    <row r="396" spans="12:15" x14ac:dyDescent="0.15">
      <c r="L396" s="7">
        <f t="shared" si="24"/>
        <v>0</v>
      </c>
      <c r="M396" s="7">
        <f t="shared" si="25"/>
        <v>1</v>
      </c>
      <c r="N396" s="7">
        <f t="shared" si="26"/>
        <v>0.5</v>
      </c>
      <c r="O396" s="7">
        <f t="shared" si="27"/>
        <v>-0.69314718055994529</v>
      </c>
    </row>
    <row r="397" spans="12:15" x14ac:dyDescent="0.15">
      <c r="L397" s="7">
        <f t="shared" si="24"/>
        <v>0</v>
      </c>
      <c r="M397" s="7">
        <f t="shared" si="25"/>
        <v>1</v>
      </c>
      <c r="N397" s="7">
        <f t="shared" si="26"/>
        <v>0.5</v>
      </c>
      <c r="O397" s="7">
        <f t="shared" si="27"/>
        <v>-0.69314718055994529</v>
      </c>
    </row>
    <row r="398" spans="12:15" x14ac:dyDescent="0.15">
      <c r="L398" s="7">
        <f t="shared" si="24"/>
        <v>0</v>
      </c>
      <c r="M398" s="7">
        <f t="shared" si="25"/>
        <v>1</v>
      </c>
      <c r="N398" s="7">
        <f t="shared" si="26"/>
        <v>0.5</v>
      </c>
      <c r="O398" s="7">
        <f t="shared" si="27"/>
        <v>-0.69314718055994529</v>
      </c>
    </row>
    <row r="399" spans="12:15" x14ac:dyDescent="0.15">
      <c r="L399" s="7">
        <f t="shared" si="24"/>
        <v>0</v>
      </c>
      <c r="M399" s="7">
        <f t="shared" si="25"/>
        <v>1</v>
      </c>
      <c r="N399" s="7">
        <f t="shared" si="26"/>
        <v>0.5</v>
      </c>
      <c r="O399" s="7">
        <f t="shared" si="27"/>
        <v>-0.69314718055994529</v>
      </c>
    </row>
    <row r="400" spans="12:15" x14ac:dyDescent="0.15">
      <c r="L400" s="7">
        <f t="shared" si="24"/>
        <v>0</v>
      </c>
      <c r="M400" s="7">
        <f t="shared" si="25"/>
        <v>1</v>
      </c>
      <c r="N400" s="7">
        <f t="shared" si="26"/>
        <v>0.5</v>
      </c>
      <c r="O400" s="7">
        <f t="shared" si="27"/>
        <v>-0.69314718055994529</v>
      </c>
    </row>
    <row r="401" spans="12:15" x14ac:dyDescent="0.15">
      <c r="L401" s="7">
        <f t="shared" si="24"/>
        <v>0</v>
      </c>
      <c r="M401" s="7">
        <f t="shared" si="25"/>
        <v>1</v>
      </c>
      <c r="N401" s="7">
        <f t="shared" si="26"/>
        <v>0.5</v>
      </c>
      <c r="O401" s="7">
        <f t="shared" si="27"/>
        <v>-0.69314718055994529</v>
      </c>
    </row>
    <row r="402" spans="12:15" x14ac:dyDescent="0.15">
      <c r="L402" s="7">
        <f t="shared" si="24"/>
        <v>0</v>
      </c>
      <c r="M402" s="7">
        <f t="shared" si="25"/>
        <v>1</v>
      </c>
      <c r="N402" s="7">
        <f t="shared" si="26"/>
        <v>0.5</v>
      </c>
      <c r="O402" s="7">
        <f t="shared" si="27"/>
        <v>-0.69314718055994529</v>
      </c>
    </row>
    <row r="403" spans="12:15" x14ac:dyDescent="0.15">
      <c r="L403" s="7">
        <f t="shared" si="24"/>
        <v>0</v>
      </c>
      <c r="M403" s="7">
        <f t="shared" si="25"/>
        <v>1</v>
      </c>
      <c r="N403" s="7">
        <f t="shared" si="26"/>
        <v>0.5</v>
      </c>
      <c r="O403" s="7">
        <f t="shared" si="27"/>
        <v>-0.69314718055994529</v>
      </c>
    </row>
    <row r="404" spans="12:15" x14ac:dyDescent="0.15">
      <c r="L404" s="7">
        <f t="shared" si="24"/>
        <v>0</v>
      </c>
      <c r="M404" s="7">
        <f t="shared" si="25"/>
        <v>1</v>
      </c>
      <c r="N404" s="7">
        <f t="shared" si="26"/>
        <v>0.5</v>
      </c>
      <c r="O404" s="7">
        <f t="shared" si="27"/>
        <v>-0.69314718055994529</v>
      </c>
    </row>
    <row r="405" spans="12:15" x14ac:dyDescent="0.15">
      <c r="L405" s="7">
        <f t="shared" si="24"/>
        <v>0</v>
      </c>
      <c r="M405" s="7">
        <f t="shared" si="25"/>
        <v>1</v>
      </c>
      <c r="N405" s="7">
        <f t="shared" si="26"/>
        <v>0.5</v>
      </c>
      <c r="O405" s="7">
        <f t="shared" si="27"/>
        <v>-0.69314718055994529</v>
      </c>
    </row>
    <row r="406" spans="12:15" x14ac:dyDescent="0.15">
      <c r="L406" s="7">
        <f t="shared" si="24"/>
        <v>0</v>
      </c>
      <c r="M406" s="7">
        <f t="shared" si="25"/>
        <v>1</v>
      </c>
      <c r="N406" s="7">
        <f t="shared" si="26"/>
        <v>0.5</v>
      </c>
      <c r="O406" s="7">
        <f t="shared" si="27"/>
        <v>-0.69314718055994529</v>
      </c>
    </row>
    <row r="407" spans="12:15" x14ac:dyDescent="0.15">
      <c r="L407" s="7">
        <f t="shared" si="24"/>
        <v>0</v>
      </c>
      <c r="M407" s="7">
        <f t="shared" si="25"/>
        <v>1</v>
      </c>
      <c r="N407" s="7">
        <f t="shared" si="26"/>
        <v>0.5</v>
      </c>
      <c r="O407" s="7">
        <f t="shared" si="27"/>
        <v>-0.69314718055994529</v>
      </c>
    </row>
    <row r="408" spans="12:15" x14ac:dyDescent="0.15">
      <c r="L408" s="7">
        <f t="shared" si="24"/>
        <v>0</v>
      </c>
      <c r="M408" s="7">
        <f t="shared" si="25"/>
        <v>1</v>
      </c>
      <c r="N408" s="7">
        <f t="shared" si="26"/>
        <v>0.5</v>
      </c>
      <c r="O408" s="7">
        <f t="shared" si="27"/>
        <v>-0.69314718055994529</v>
      </c>
    </row>
    <row r="409" spans="12:15" x14ac:dyDescent="0.15">
      <c r="L409" s="7">
        <f t="shared" si="24"/>
        <v>0</v>
      </c>
      <c r="M409" s="7">
        <f t="shared" si="25"/>
        <v>1</v>
      </c>
      <c r="N409" s="7">
        <f t="shared" si="26"/>
        <v>0.5</v>
      </c>
      <c r="O409" s="7">
        <f t="shared" si="27"/>
        <v>-0.69314718055994529</v>
      </c>
    </row>
    <row r="410" spans="12:15" x14ac:dyDescent="0.15">
      <c r="L410" s="7">
        <f t="shared" si="24"/>
        <v>0</v>
      </c>
      <c r="M410" s="7">
        <f t="shared" si="25"/>
        <v>1</v>
      </c>
      <c r="N410" s="7">
        <f t="shared" si="26"/>
        <v>0.5</v>
      </c>
      <c r="O410" s="7">
        <f t="shared" si="27"/>
        <v>-0.69314718055994529</v>
      </c>
    </row>
    <row r="411" spans="12:15" x14ac:dyDescent="0.15">
      <c r="L411" s="7">
        <f t="shared" si="24"/>
        <v>0</v>
      </c>
      <c r="M411" s="7">
        <f t="shared" si="25"/>
        <v>1</v>
      </c>
      <c r="N411" s="7">
        <f t="shared" si="26"/>
        <v>0.5</v>
      </c>
      <c r="O411" s="7">
        <f t="shared" si="27"/>
        <v>-0.69314718055994529</v>
      </c>
    </row>
    <row r="412" spans="12:15" x14ac:dyDescent="0.15">
      <c r="L412" s="7">
        <f t="shared" si="24"/>
        <v>0</v>
      </c>
      <c r="M412" s="7">
        <f t="shared" si="25"/>
        <v>1</v>
      </c>
      <c r="N412" s="7">
        <f t="shared" si="26"/>
        <v>0.5</v>
      </c>
      <c r="O412" s="7">
        <f t="shared" si="27"/>
        <v>-0.69314718055994529</v>
      </c>
    </row>
    <row r="413" spans="12:15" x14ac:dyDescent="0.15">
      <c r="L413" s="7">
        <f t="shared" si="24"/>
        <v>0</v>
      </c>
      <c r="M413" s="7">
        <f t="shared" si="25"/>
        <v>1</v>
      </c>
      <c r="N413" s="7">
        <f t="shared" si="26"/>
        <v>0.5</v>
      </c>
      <c r="O413" s="7">
        <f t="shared" si="27"/>
        <v>-0.69314718055994529</v>
      </c>
    </row>
    <row r="414" spans="12:15" x14ac:dyDescent="0.15">
      <c r="L414" s="7">
        <f t="shared" si="24"/>
        <v>0</v>
      </c>
      <c r="M414" s="7">
        <f t="shared" si="25"/>
        <v>1</v>
      </c>
      <c r="N414" s="7">
        <f t="shared" si="26"/>
        <v>0.5</v>
      </c>
      <c r="O414" s="7">
        <f t="shared" si="27"/>
        <v>-0.69314718055994529</v>
      </c>
    </row>
    <row r="415" spans="12:15" x14ac:dyDescent="0.15">
      <c r="L415" s="7">
        <f t="shared" si="24"/>
        <v>0</v>
      </c>
      <c r="M415" s="7">
        <f t="shared" si="25"/>
        <v>1</v>
      </c>
      <c r="N415" s="7">
        <f t="shared" si="26"/>
        <v>0.5</v>
      </c>
      <c r="O415" s="7">
        <f t="shared" si="27"/>
        <v>-0.69314718055994529</v>
      </c>
    </row>
    <row r="416" spans="12:15" x14ac:dyDescent="0.15">
      <c r="L416" s="7">
        <f t="shared" si="24"/>
        <v>0</v>
      </c>
      <c r="M416" s="7">
        <f t="shared" si="25"/>
        <v>1</v>
      </c>
      <c r="N416" s="7">
        <f t="shared" si="26"/>
        <v>0.5</v>
      </c>
      <c r="O416" s="7">
        <f t="shared" si="27"/>
        <v>-0.69314718055994529</v>
      </c>
    </row>
    <row r="417" spans="12:15" x14ac:dyDescent="0.15">
      <c r="L417" s="7">
        <f t="shared" si="24"/>
        <v>0</v>
      </c>
      <c r="M417" s="7">
        <f t="shared" si="25"/>
        <v>1</v>
      </c>
      <c r="N417" s="7">
        <f t="shared" si="26"/>
        <v>0.5</v>
      </c>
      <c r="O417" s="7">
        <f t="shared" si="27"/>
        <v>-0.69314718055994529</v>
      </c>
    </row>
    <row r="418" spans="12:15" x14ac:dyDescent="0.15">
      <c r="L418" s="7">
        <f t="shared" si="24"/>
        <v>0</v>
      </c>
      <c r="M418" s="7">
        <f t="shared" si="25"/>
        <v>1</v>
      </c>
      <c r="N418" s="7">
        <f t="shared" si="26"/>
        <v>0.5</v>
      </c>
      <c r="O418" s="7">
        <f t="shared" si="27"/>
        <v>-0.69314718055994529</v>
      </c>
    </row>
    <row r="419" spans="12:15" x14ac:dyDescent="0.15">
      <c r="L419" s="7">
        <f t="shared" si="24"/>
        <v>0</v>
      </c>
      <c r="M419" s="7">
        <f t="shared" si="25"/>
        <v>1</v>
      </c>
      <c r="N419" s="7">
        <f t="shared" si="26"/>
        <v>0.5</v>
      </c>
      <c r="O419" s="7">
        <f t="shared" si="27"/>
        <v>-0.69314718055994529</v>
      </c>
    </row>
    <row r="420" spans="12:15" x14ac:dyDescent="0.15">
      <c r="L420" s="7">
        <f t="shared" si="24"/>
        <v>0</v>
      </c>
      <c r="M420" s="7">
        <f t="shared" si="25"/>
        <v>1</v>
      </c>
      <c r="N420" s="7">
        <f t="shared" si="26"/>
        <v>0.5</v>
      </c>
      <c r="O420" s="7">
        <f t="shared" si="27"/>
        <v>-0.69314718055994529</v>
      </c>
    </row>
    <row r="421" spans="12:15" x14ac:dyDescent="0.15">
      <c r="L421" s="7">
        <f t="shared" si="24"/>
        <v>0</v>
      </c>
      <c r="M421" s="7">
        <f t="shared" si="25"/>
        <v>1</v>
      </c>
      <c r="N421" s="7">
        <f t="shared" si="26"/>
        <v>0.5</v>
      </c>
      <c r="O421" s="7">
        <f t="shared" si="27"/>
        <v>-0.69314718055994529</v>
      </c>
    </row>
    <row r="422" spans="12:15" x14ac:dyDescent="0.15">
      <c r="L422" s="7">
        <f t="shared" si="24"/>
        <v>0</v>
      </c>
      <c r="M422" s="7">
        <f t="shared" si="25"/>
        <v>1</v>
      </c>
      <c r="N422" s="7">
        <f t="shared" si="26"/>
        <v>0.5</v>
      </c>
      <c r="O422" s="7">
        <f t="shared" si="27"/>
        <v>-0.69314718055994529</v>
      </c>
    </row>
    <row r="423" spans="12:15" x14ac:dyDescent="0.15">
      <c r="L423" s="7">
        <f t="shared" si="24"/>
        <v>0</v>
      </c>
      <c r="M423" s="7">
        <f t="shared" si="25"/>
        <v>1</v>
      </c>
      <c r="N423" s="7">
        <f t="shared" si="26"/>
        <v>0.5</v>
      </c>
      <c r="O423" s="7">
        <f t="shared" si="27"/>
        <v>-0.69314718055994529</v>
      </c>
    </row>
    <row r="424" spans="12:15" x14ac:dyDescent="0.15">
      <c r="L424" s="7">
        <f t="shared" si="24"/>
        <v>0</v>
      </c>
      <c r="M424" s="7">
        <f t="shared" si="25"/>
        <v>1</v>
      </c>
      <c r="N424" s="7">
        <f t="shared" si="26"/>
        <v>0.5</v>
      </c>
      <c r="O424" s="7">
        <f t="shared" si="27"/>
        <v>-0.69314718055994529</v>
      </c>
    </row>
    <row r="425" spans="12:15" x14ac:dyDescent="0.15">
      <c r="L425" s="7">
        <f t="shared" si="24"/>
        <v>0</v>
      </c>
      <c r="M425" s="7">
        <f t="shared" si="25"/>
        <v>1</v>
      </c>
      <c r="N425" s="7">
        <f t="shared" si="26"/>
        <v>0.5</v>
      </c>
      <c r="O425" s="7">
        <f t="shared" si="27"/>
        <v>-0.69314718055994529</v>
      </c>
    </row>
    <row r="426" spans="12:15" x14ac:dyDescent="0.15">
      <c r="L426" s="7">
        <f t="shared" si="24"/>
        <v>0</v>
      </c>
      <c r="M426" s="7">
        <f t="shared" si="25"/>
        <v>1</v>
      </c>
      <c r="N426" s="7">
        <f t="shared" si="26"/>
        <v>0.5</v>
      </c>
      <c r="O426" s="7">
        <f t="shared" si="27"/>
        <v>-0.69314718055994529</v>
      </c>
    </row>
    <row r="427" spans="12:15" x14ac:dyDescent="0.15">
      <c r="L427" s="7">
        <f t="shared" si="24"/>
        <v>0</v>
      </c>
      <c r="M427" s="7">
        <f t="shared" si="25"/>
        <v>1</v>
      </c>
      <c r="N427" s="7">
        <f t="shared" si="26"/>
        <v>0.5</v>
      </c>
      <c r="O427" s="7">
        <f t="shared" si="27"/>
        <v>-0.69314718055994529</v>
      </c>
    </row>
    <row r="428" spans="12:15" x14ac:dyDescent="0.15">
      <c r="L428" s="7">
        <f t="shared" si="24"/>
        <v>0</v>
      </c>
      <c r="M428" s="7">
        <f t="shared" si="25"/>
        <v>1</v>
      </c>
      <c r="N428" s="7">
        <f t="shared" si="26"/>
        <v>0.5</v>
      </c>
      <c r="O428" s="7">
        <f t="shared" si="27"/>
        <v>-0.69314718055994529</v>
      </c>
    </row>
    <row r="429" spans="12:15" x14ac:dyDescent="0.15">
      <c r="L429" s="7">
        <f t="shared" si="24"/>
        <v>0</v>
      </c>
      <c r="M429" s="7">
        <f t="shared" si="25"/>
        <v>1</v>
      </c>
      <c r="N429" s="7">
        <f t="shared" si="26"/>
        <v>0.5</v>
      </c>
      <c r="O429" s="7">
        <f t="shared" si="27"/>
        <v>-0.69314718055994529</v>
      </c>
    </row>
    <row r="430" spans="12:15" x14ac:dyDescent="0.15">
      <c r="L430" s="7">
        <f t="shared" si="24"/>
        <v>0</v>
      </c>
      <c r="M430" s="7">
        <f t="shared" si="25"/>
        <v>1</v>
      </c>
      <c r="N430" s="7">
        <f t="shared" si="26"/>
        <v>0.5</v>
      </c>
      <c r="O430" s="7">
        <f t="shared" si="27"/>
        <v>-0.69314718055994529</v>
      </c>
    </row>
    <row r="431" spans="12:15" x14ac:dyDescent="0.15">
      <c r="L431" s="7">
        <f t="shared" si="24"/>
        <v>0</v>
      </c>
      <c r="M431" s="7">
        <f t="shared" si="25"/>
        <v>1</v>
      </c>
      <c r="N431" s="7">
        <f t="shared" si="26"/>
        <v>0.5</v>
      </c>
      <c r="O431" s="7">
        <f t="shared" si="27"/>
        <v>-0.69314718055994529</v>
      </c>
    </row>
    <row r="432" spans="12:15" x14ac:dyDescent="0.15">
      <c r="L432" s="7">
        <f t="shared" si="24"/>
        <v>0</v>
      </c>
      <c r="M432" s="7">
        <f t="shared" si="25"/>
        <v>1</v>
      </c>
      <c r="N432" s="7">
        <f t="shared" si="26"/>
        <v>0.5</v>
      </c>
      <c r="O432" s="7">
        <f t="shared" si="27"/>
        <v>-0.69314718055994529</v>
      </c>
    </row>
    <row r="433" spans="12:15" x14ac:dyDescent="0.15">
      <c r="L433" s="7">
        <f t="shared" si="24"/>
        <v>0</v>
      </c>
      <c r="M433" s="7">
        <f t="shared" si="25"/>
        <v>1</v>
      </c>
      <c r="N433" s="7">
        <f t="shared" si="26"/>
        <v>0.5</v>
      </c>
      <c r="O433" s="7">
        <f t="shared" si="27"/>
        <v>-0.69314718055994529</v>
      </c>
    </row>
    <row r="434" spans="12:15" x14ac:dyDescent="0.15">
      <c r="L434" s="7">
        <f t="shared" si="24"/>
        <v>0</v>
      </c>
      <c r="M434" s="7">
        <f t="shared" si="25"/>
        <v>1</v>
      </c>
      <c r="N434" s="7">
        <f t="shared" si="26"/>
        <v>0.5</v>
      </c>
      <c r="O434" s="7">
        <f t="shared" si="27"/>
        <v>-0.69314718055994529</v>
      </c>
    </row>
    <row r="435" spans="12:15" x14ac:dyDescent="0.15">
      <c r="L435" s="7">
        <f t="shared" si="24"/>
        <v>0</v>
      </c>
      <c r="M435" s="7">
        <f t="shared" si="25"/>
        <v>1</v>
      </c>
      <c r="N435" s="7">
        <f t="shared" si="26"/>
        <v>0.5</v>
      </c>
      <c r="O435" s="7">
        <f t="shared" si="27"/>
        <v>-0.69314718055994529</v>
      </c>
    </row>
    <row r="436" spans="12:15" x14ac:dyDescent="0.15">
      <c r="L436" s="7">
        <f t="shared" si="24"/>
        <v>0</v>
      </c>
      <c r="M436" s="7">
        <f t="shared" si="25"/>
        <v>1</v>
      </c>
      <c r="N436" s="7">
        <f t="shared" si="26"/>
        <v>0.5</v>
      </c>
      <c r="O436" s="7">
        <f t="shared" si="27"/>
        <v>-0.69314718055994529</v>
      </c>
    </row>
    <row r="437" spans="12:15" x14ac:dyDescent="0.15">
      <c r="L437" s="7">
        <f t="shared" si="24"/>
        <v>0</v>
      </c>
      <c r="M437" s="7">
        <f t="shared" si="25"/>
        <v>1</v>
      </c>
      <c r="N437" s="7">
        <f t="shared" si="26"/>
        <v>0.5</v>
      </c>
      <c r="O437" s="7">
        <f t="shared" si="27"/>
        <v>-0.69314718055994529</v>
      </c>
    </row>
    <row r="438" spans="12:15" x14ac:dyDescent="0.15">
      <c r="L438" s="7">
        <f t="shared" si="24"/>
        <v>0</v>
      </c>
      <c r="M438" s="7">
        <f t="shared" si="25"/>
        <v>1</v>
      </c>
      <c r="N438" s="7">
        <f t="shared" si="26"/>
        <v>0.5</v>
      </c>
      <c r="O438" s="7">
        <f t="shared" si="27"/>
        <v>-0.69314718055994529</v>
      </c>
    </row>
    <row r="439" spans="12:15" x14ac:dyDescent="0.15">
      <c r="L439" s="7">
        <f t="shared" si="24"/>
        <v>0</v>
      </c>
      <c r="M439" s="7">
        <f t="shared" si="25"/>
        <v>1</v>
      </c>
      <c r="N439" s="7">
        <f t="shared" si="26"/>
        <v>0.5</v>
      </c>
      <c r="O439" s="7">
        <f t="shared" si="27"/>
        <v>-0.69314718055994529</v>
      </c>
    </row>
    <row r="440" spans="12:15" x14ac:dyDescent="0.15">
      <c r="L440" s="7">
        <f t="shared" si="24"/>
        <v>0</v>
      </c>
      <c r="M440" s="7">
        <f t="shared" si="25"/>
        <v>1</v>
      </c>
      <c r="N440" s="7">
        <f t="shared" si="26"/>
        <v>0.5</v>
      </c>
      <c r="O440" s="7">
        <f t="shared" si="27"/>
        <v>-0.69314718055994529</v>
      </c>
    </row>
    <row r="441" spans="12:15" x14ac:dyDescent="0.15">
      <c r="L441" s="7">
        <f t="shared" si="24"/>
        <v>0</v>
      </c>
      <c r="M441" s="7">
        <f t="shared" si="25"/>
        <v>1</v>
      </c>
      <c r="N441" s="7">
        <f t="shared" si="26"/>
        <v>0.5</v>
      </c>
      <c r="O441" s="7">
        <f t="shared" si="27"/>
        <v>-0.69314718055994529</v>
      </c>
    </row>
    <row r="442" spans="12:15" x14ac:dyDescent="0.15">
      <c r="L442" s="7">
        <f t="shared" si="24"/>
        <v>0</v>
      </c>
      <c r="M442" s="7">
        <f t="shared" si="25"/>
        <v>1</v>
      </c>
      <c r="N442" s="7">
        <f t="shared" si="26"/>
        <v>0.5</v>
      </c>
      <c r="O442" s="7">
        <f t="shared" si="27"/>
        <v>-0.69314718055994529</v>
      </c>
    </row>
    <row r="443" spans="12:15" x14ac:dyDescent="0.15">
      <c r="L443" s="7">
        <f t="shared" si="24"/>
        <v>0</v>
      </c>
      <c r="M443" s="7">
        <f t="shared" si="25"/>
        <v>1</v>
      </c>
      <c r="N443" s="7">
        <f t="shared" si="26"/>
        <v>0.5</v>
      </c>
      <c r="O443" s="7">
        <f t="shared" si="27"/>
        <v>-0.69314718055994529</v>
      </c>
    </row>
    <row r="444" spans="12:15" x14ac:dyDescent="0.15">
      <c r="L444" s="7">
        <f t="shared" si="24"/>
        <v>0</v>
      </c>
      <c r="M444" s="7">
        <f t="shared" si="25"/>
        <v>1</v>
      </c>
      <c r="N444" s="7">
        <f t="shared" si="26"/>
        <v>0.5</v>
      </c>
      <c r="O444" s="7">
        <f t="shared" si="27"/>
        <v>-0.69314718055994529</v>
      </c>
    </row>
    <row r="445" spans="12:15" x14ac:dyDescent="0.15">
      <c r="L445" s="7">
        <f t="shared" si="24"/>
        <v>0</v>
      </c>
      <c r="M445" s="7">
        <f t="shared" si="25"/>
        <v>1</v>
      </c>
      <c r="N445" s="7">
        <f t="shared" si="26"/>
        <v>0.5</v>
      </c>
      <c r="O445" s="7">
        <f t="shared" si="27"/>
        <v>-0.69314718055994529</v>
      </c>
    </row>
    <row r="446" spans="12:15" x14ac:dyDescent="0.15">
      <c r="L446" s="7">
        <f t="shared" si="24"/>
        <v>0</v>
      </c>
      <c r="M446" s="7">
        <f t="shared" si="25"/>
        <v>1</v>
      </c>
      <c r="N446" s="7">
        <f t="shared" si="26"/>
        <v>0.5</v>
      </c>
      <c r="O446" s="7">
        <f t="shared" si="27"/>
        <v>-0.69314718055994529</v>
      </c>
    </row>
    <row r="447" spans="12:15" x14ac:dyDescent="0.15">
      <c r="L447" s="7">
        <f t="shared" si="24"/>
        <v>0</v>
      </c>
      <c r="M447" s="7">
        <f t="shared" si="25"/>
        <v>1</v>
      </c>
      <c r="N447" s="7">
        <f t="shared" si="26"/>
        <v>0.5</v>
      </c>
      <c r="O447" s="7">
        <f t="shared" si="27"/>
        <v>-0.69314718055994529</v>
      </c>
    </row>
    <row r="448" spans="12:15" x14ac:dyDescent="0.15">
      <c r="L448" s="7">
        <f t="shared" si="24"/>
        <v>0</v>
      </c>
      <c r="M448" s="7">
        <f t="shared" si="25"/>
        <v>1</v>
      </c>
      <c r="N448" s="7">
        <f t="shared" si="26"/>
        <v>0.5</v>
      </c>
      <c r="O448" s="7">
        <f t="shared" si="27"/>
        <v>-0.69314718055994529</v>
      </c>
    </row>
    <row r="449" spans="12:15" x14ac:dyDescent="0.15">
      <c r="L449" s="7">
        <f t="shared" si="24"/>
        <v>0</v>
      </c>
      <c r="M449" s="7">
        <f t="shared" si="25"/>
        <v>1</v>
      </c>
      <c r="N449" s="7">
        <f t="shared" si="26"/>
        <v>0.5</v>
      </c>
      <c r="O449" s="7">
        <f t="shared" si="27"/>
        <v>-0.69314718055994529</v>
      </c>
    </row>
    <row r="450" spans="12:15" x14ac:dyDescent="0.15">
      <c r="L450" s="7">
        <f t="shared" si="24"/>
        <v>0</v>
      </c>
      <c r="M450" s="7">
        <f t="shared" si="25"/>
        <v>1</v>
      </c>
      <c r="N450" s="7">
        <f t="shared" si="26"/>
        <v>0.5</v>
      </c>
      <c r="O450" s="7">
        <f t="shared" si="27"/>
        <v>-0.69314718055994529</v>
      </c>
    </row>
    <row r="451" spans="12:15" x14ac:dyDescent="0.15">
      <c r="L451" s="7">
        <f t="shared" ref="L451:L514" si="28">$Q$1 + $Q$2*B451+$Q$3*C451+ $Q$4*D451+$Q$5*E451+$Q$6*F451+$Q$7*G451+H451*$Q$8+I451*$Q$9+J451*$Q$10+K451*$Q$11</f>
        <v>0</v>
      </c>
      <c r="M451" s="7">
        <f t="shared" ref="M451:M514" si="29">EXP(L451)</f>
        <v>1</v>
      </c>
      <c r="N451" s="7">
        <f t="shared" ref="N451:N514" si="30">1/(1+M451)</f>
        <v>0.5</v>
      </c>
      <c r="O451" s="7">
        <f t="shared" ref="O451:O514" si="31">A451*LN(N451)+(1-A451)*LN(1-N451)</f>
        <v>-0.69314718055994529</v>
      </c>
    </row>
    <row r="452" spans="12:15" x14ac:dyDescent="0.15">
      <c r="L452" s="7">
        <f t="shared" si="28"/>
        <v>0</v>
      </c>
      <c r="M452" s="7">
        <f t="shared" si="29"/>
        <v>1</v>
      </c>
      <c r="N452" s="7">
        <f t="shared" si="30"/>
        <v>0.5</v>
      </c>
      <c r="O452" s="7">
        <f t="shared" si="31"/>
        <v>-0.69314718055994529</v>
      </c>
    </row>
    <row r="453" spans="12:15" x14ac:dyDescent="0.15">
      <c r="L453" s="7">
        <f t="shared" si="28"/>
        <v>0</v>
      </c>
      <c r="M453" s="7">
        <f t="shared" si="29"/>
        <v>1</v>
      </c>
      <c r="N453" s="7">
        <f t="shared" si="30"/>
        <v>0.5</v>
      </c>
      <c r="O453" s="7">
        <f t="shared" si="31"/>
        <v>-0.69314718055994529</v>
      </c>
    </row>
    <row r="454" spans="12:15" x14ac:dyDescent="0.15">
      <c r="L454" s="7">
        <f t="shared" si="28"/>
        <v>0</v>
      </c>
      <c r="M454" s="7">
        <f t="shared" si="29"/>
        <v>1</v>
      </c>
      <c r="N454" s="7">
        <f t="shared" si="30"/>
        <v>0.5</v>
      </c>
      <c r="O454" s="7">
        <f t="shared" si="31"/>
        <v>-0.69314718055994529</v>
      </c>
    </row>
    <row r="455" spans="12:15" x14ac:dyDescent="0.15">
      <c r="L455" s="7">
        <f t="shared" si="28"/>
        <v>0</v>
      </c>
      <c r="M455" s="7">
        <f t="shared" si="29"/>
        <v>1</v>
      </c>
      <c r="N455" s="7">
        <f t="shared" si="30"/>
        <v>0.5</v>
      </c>
      <c r="O455" s="7">
        <f t="shared" si="31"/>
        <v>-0.69314718055994529</v>
      </c>
    </row>
    <row r="456" spans="12:15" x14ac:dyDescent="0.15">
      <c r="L456" s="7">
        <f t="shared" si="28"/>
        <v>0</v>
      </c>
      <c r="M456" s="7">
        <f t="shared" si="29"/>
        <v>1</v>
      </c>
      <c r="N456" s="7">
        <f t="shared" si="30"/>
        <v>0.5</v>
      </c>
      <c r="O456" s="7">
        <f t="shared" si="31"/>
        <v>-0.69314718055994529</v>
      </c>
    </row>
    <row r="457" spans="12:15" x14ac:dyDescent="0.15">
      <c r="L457" s="7">
        <f t="shared" si="28"/>
        <v>0</v>
      </c>
      <c r="M457" s="7">
        <f t="shared" si="29"/>
        <v>1</v>
      </c>
      <c r="N457" s="7">
        <f t="shared" si="30"/>
        <v>0.5</v>
      </c>
      <c r="O457" s="7">
        <f t="shared" si="31"/>
        <v>-0.69314718055994529</v>
      </c>
    </row>
    <row r="458" spans="12:15" x14ac:dyDescent="0.15">
      <c r="L458" s="7">
        <f t="shared" si="28"/>
        <v>0</v>
      </c>
      <c r="M458" s="7">
        <f t="shared" si="29"/>
        <v>1</v>
      </c>
      <c r="N458" s="7">
        <f t="shared" si="30"/>
        <v>0.5</v>
      </c>
      <c r="O458" s="7">
        <f t="shared" si="31"/>
        <v>-0.69314718055994529</v>
      </c>
    </row>
    <row r="459" spans="12:15" x14ac:dyDescent="0.15">
      <c r="L459" s="7">
        <f t="shared" si="28"/>
        <v>0</v>
      </c>
      <c r="M459" s="7">
        <f t="shared" si="29"/>
        <v>1</v>
      </c>
      <c r="N459" s="7">
        <f t="shared" si="30"/>
        <v>0.5</v>
      </c>
      <c r="O459" s="7">
        <f t="shared" si="31"/>
        <v>-0.69314718055994529</v>
      </c>
    </row>
    <row r="460" spans="12:15" x14ac:dyDescent="0.15">
      <c r="L460" s="7">
        <f t="shared" si="28"/>
        <v>0</v>
      </c>
      <c r="M460" s="7">
        <f t="shared" si="29"/>
        <v>1</v>
      </c>
      <c r="N460" s="7">
        <f t="shared" si="30"/>
        <v>0.5</v>
      </c>
      <c r="O460" s="7">
        <f t="shared" si="31"/>
        <v>-0.69314718055994529</v>
      </c>
    </row>
    <row r="461" spans="12:15" x14ac:dyDescent="0.15">
      <c r="L461" s="7">
        <f t="shared" si="28"/>
        <v>0</v>
      </c>
      <c r="M461" s="7">
        <f t="shared" si="29"/>
        <v>1</v>
      </c>
      <c r="N461" s="7">
        <f t="shared" si="30"/>
        <v>0.5</v>
      </c>
      <c r="O461" s="7">
        <f t="shared" si="31"/>
        <v>-0.69314718055994529</v>
      </c>
    </row>
    <row r="462" spans="12:15" x14ac:dyDescent="0.15">
      <c r="L462" s="7">
        <f t="shared" si="28"/>
        <v>0</v>
      </c>
      <c r="M462" s="7">
        <f t="shared" si="29"/>
        <v>1</v>
      </c>
      <c r="N462" s="7">
        <f t="shared" si="30"/>
        <v>0.5</v>
      </c>
      <c r="O462" s="7">
        <f t="shared" si="31"/>
        <v>-0.69314718055994529</v>
      </c>
    </row>
    <row r="463" spans="12:15" x14ac:dyDescent="0.15">
      <c r="L463" s="7">
        <f t="shared" si="28"/>
        <v>0</v>
      </c>
      <c r="M463" s="7">
        <f t="shared" si="29"/>
        <v>1</v>
      </c>
      <c r="N463" s="7">
        <f t="shared" si="30"/>
        <v>0.5</v>
      </c>
      <c r="O463" s="7">
        <f t="shared" si="31"/>
        <v>-0.69314718055994529</v>
      </c>
    </row>
    <row r="464" spans="12:15" x14ac:dyDescent="0.15">
      <c r="L464" s="7">
        <f t="shared" si="28"/>
        <v>0</v>
      </c>
      <c r="M464" s="7">
        <f t="shared" si="29"/>
        <v>1</v>
      </c>
      <c r="N464" s="7">
        <f t="shared" si="30"/>
        <v>0.5</v>
      </c>
      <c r="O464" s="7">
        <f t="shared" si="31"/>
        <v>-0.69314718055994529</v>
      </c>
    </row>
    <row r="465" spans="12:15" x14ac:dyDescent="0.15">
      <c r="L465" s="7">
        <f t="shared" si="28"/>
        <v>0</v>
      </c>
      <c r="M465" s="7">
        <f t="shared" si="29"/>
        <v>1</v>
      </c>
      <c r="N465" s="7">
        <f t="shared" si="30"/>
        <v>0.5</v>
      </c>
      <c r="O465" s="7">
        <f t="shared" si="31"/>
        <v>-0.69314718055994529</v>
      </c>
    </row>
    <row r="466" spans="12:15" x14ac:dyDescent="0.15">
      <c r="L466" s="7">
        <f t="shared" si="28"/>
        <v>0</v>
      </c>
      <c r="M466" s="7">
        <f t="shared" si="29"/>
        <v>1</v>
      </c>
      <c r="N466" s="7">
        <f t="shared" si="30"/>
        <v>0.5</v>
      </c>
      <c r="O466" s="7">
        <f t="shared" si="31"/>
        <v>-0.69314718055994529</v>
      </c>
    </row>
    <row r="467" spans="12:15" x14ac:dyDescent="0.15">
      <c r="L467" s="7">
        <f t="shared" si="28"/>
        <v>0</v>
      </c>
      <c r="M467" s="7">
        <f t="shared" si="29"/>
        <v>1</v>
      </c>
      <c r="N467" s="7">
        <f t="shared" si="30"/>
        <v>0.5</v>
      </c>
      <c r="O467" s="7">
        <f t="shared" si="31"/>
        <v>-0.69314718055994529</v>
      </c>
    </row>
    <row r="468" spans="12:15" x14ac:dyDescent="0.15">
      <c r="L468" s="7">
        <f t="shared" si="28"/>
        <v>0</v>
      </c>
      <c r="M468" s="7">
        <f t="shared" si="29"/>
        <v>1</v>
      </c>
      <c r="N468" s="7">
        <f t="shared" si="30"/>
        <v>0.5</v>
      </c>
      <c r="O468" s="7">
        <f t="shared" si="31"/>
        <v>-0.69314718055994529</v>
      </c>
    </row>
    <row r="469" spans="12:15" x14ac:dyDescent="0.15">
      <c r="L469" s="7">
        <f t="shared" si="28"/>
        <v>0</v>
      </c>
      <c r="M469" s="7">
        <f t="shared" si="29"/>
        <v>1</v>
      </c>
      <c r="N469" s="7">
        <f t="shared" si="30"/>
        <v>0.5</v>
      </c>
      <c r="O469" s="7">
        <f t="shared" si="31"/>
        <v>-0.69314718055994529</v>
      </c>
    </row>
    <row r="470" spans="12:15" x14ac:dyDescent="0.15">
      <c r="L470" s="7">
        <f t="shared" si="28"/>
        <v>0</v>
      </c>
      <c r="M470" s="7">
        <f t="shared" si="29"/>
        <v>1</v>
      </c>
      <c r="N470" s="7">
        <f t="shared" si="30"/>
        <v>0.5</v>
      </c>
      <c r="O470" s="7">
        <f t="shared" si="31"/>
        <v>-0.69314718055994529</v>
      </c>
    </row>
    <row r="471" spans="12:15" x14ac:dyDescent="0.15">
      <c r="L471" s="7">
        <f t="shared" si="28"/>
        <v>0</v>
      </c>
      <c r="M471" s="7">
        <f t="shared" si="29"/>
        <v>1</v>
      </c>
      <c r="N471" s="7">
        <f t="shared" si="30"/>
        <v>0.5</v>
      </c>
      <c r="O471" s="7">
        <f t="shared" si="31"/>
        <v>-0.69314718055994529</v>
      </c>
    </row>
    <row r="472" spans="12:15" x14ac:dyDescent="0.15">
      <c r="L472" s="7">
        <f t="shared" si="28"/>
        <v>0</v>
      </c>
      <c r="M472" s="7">
        <f t="shared" si="29"/>
        <v>1</v>
      </c>
      <c r="N472" s="7">
        <f t="shared" si="30"/>
        <v>0.5</v>
      </c>
      <c r="O472" s="7">
        <f t="shared" si="31"/>
        <v>-0.69314718055994529</v>
      </c>
    </row>
    <row r="473" spans="12:15" x14ac:dyDescent="0.15">
      <c r="L473" s="7">
        <f t="shared" si="28"/>
        <v>0</v>
      </c>
      <c r="M473" s="7">
        <f t="shared" si="29"/>
        <v>1</v>
      </c>
      <c r="N473" s="7">
        <f t="shared" si="30"/>
        <v>0.5</v>
      </c>
      <c r="O473" s="7">
        <f t="shared" si="31"/>
        <v>-0.69314718055994529</v>
      </c>
    </row>
    <row r="474" spans="12:15" x14ac:dyDescent="0.15">
      <c r="L474" s="7">
        <f t="shared" si="28"/>
        <v>0</v>
      </c>
      <c r="M474" s="7">
        <f t="shared" si="29"/>
        <v>1</v>
      </c>
      <c r="N474" s="7">
        <f t="shared" si="30"/>
        <v>0.5</v>
      </c>
      <c r="O474" s="7">
        <f t="shared" si="31"/>
        <v>-0.69314718055994529</v>
      </c>
    </row>
    <row r="475" spans="12:15" x14ac:dyDescent="0.15">
      <c r="L475" s="7">
        <f t="shared" si="28"/>
        <v>0</v>
      </c>
      <c r="M475" s="7">
        <f t="shared" si="29"/>
        <v>1</v>
      </c>
      <c r="N475" s="7">
        <f t="shared" si="30"/>
        <v>0.5</v>
      </c>
      <c r="O475" s="7">
        <f t="shared" si="31"/>
        <v>-0.69314718055994529</v>
      </c>
    </row>
    <row r="476" spans="12:15" x14ac:dyDescent="0.15">
      <c r="L476" s="7">
        <f t="shared" si="28"/>
        <v>0</v>
      </c>
      <c r="M476" s="7">
        <f t="shared" si="29"/>
        <v>1</v>
      </c>
      <c r="N476" s="7">
        <f t="shared" si="30"/>
        <v>0.5</v>
      </c>
      <c r="O476" s="7">
        <f t="shared" si="31"/>
        <v>-0.69314718055994529</v>
      </c>
    </row>
    <row r="477" spans="12:15" x14ac:dyDescent="0.15">
      <c r="L477" s="7">
        <f t="shared" si="28"/>
        <v>0</v>
      </c>
      <c r="M477" s="7">
        <f t="shared" si="29"/>
        <v>1</v>
      </c>
      <c r="N477" s="7">
        <f t="shared" si="30"/>
        <v>0.5</v>
      </c>
      <c r="O477" s="7">
        <f t="shared" si="31"/>
        <v>-0.69314718055994529</v>
      </c>
    </row>
    <row r="478" spans="12:15" x14ac:dyDescent="0.15">
      <c r="L478" s="7">
        <f t="shared" si="28"/>
        <v>0</v>
      </c>
      <c r="M478" s="7">
        <f t="shared" si="29"/>
        <v>1</v>
      </c>
      <c r="N478" s="7">
        <f t="shared" si="30"/>
        <v>0.5</v>
      </c>
      <c r="O478" s="7">
        <f t="shared" si="31"/>
        <v>-0.69314718055994529</v>
      </c>
    </row>
    <row r="479" spans="12:15" x14ac:dyDescent="0.15">
      <c r="L479" s="7">
        <f t="shared" si="28"/>
        <v>0</v>
      </c>
      <c r="M479" s="7">
        <f t="shared" si="29"/>
        <v>1</v>
      </c>
      <c r="N479" s="7">
        <f t="shared" si="30"/>
        <v>0.5</v>
      </c>
      <c r="O479" s="7">
        <f t="shared" si="31"/>
        <v>-0.69314718055994529</v>
      </c>
    </row>
    <row r="480" spans="12:15" x14ac:dyDescent="0.15">
      <c r="L480" s="7">
        <f t="shared" si="28"/>
        <v>0</v>
      </c>
      <c r="M480" s="7">
        <f t="shared" si="29"/>
        <v>1</v>
      </c>
      <c r="N480" s="7">
        <f t="shared" si="30"/>
        <v>0.5</v>
      </c>
      <c r="O480" s="7">
        <f t="shared" si="31"/>
        <v>-0.69314718055994529</v>
      </c>
    </row>
    <row r="481" spans="12:15" x14ac:dyDescent="0.15">
      <c r="L481" s="7">
        <f t="shared" si="28"/>
        <v>0</v>
      </c>
      <c r="M481" s="7">
        <f t="shared" si="29"/>
        <v>1</v>
      </c>
      <c r="N481" s="7">
        <f t="shared" si="30"/>
        <v>0.5</v>
      </c>
      <c r="O481" s="7">
        <f t="shared" si="31"/>
        <v>-0.69314718055994529</v>
      </c>
    </row>
    <row r="482" spans="12:15" x14ac:dyDescent="0.15">
      <c r="L482" s="7">
        <f t="shared" si="28"/>
        <v>0</v>
      </c>
      <c r="M482" s="7">
        <f t="shared" si="29"/>
        <v>1</v>
      </c>
      <c r="N482" s="7">
        <f t="shared" si="30"/>
        <v>0.5</v>
      </c>
      <c r="O482" s="7">
        <f t="shared" si="31"/>
        <v>-0.69314718055994529</v>
      </c>
    </row>
    <row r="483" spans="12:15" x14ac:dyDescent="0.15">
      <c r="L483" s="7">
        <f t="shared" si="28"/>
        <v>0</v>
      </c>
      <c r="M483" s="7">
        <f t="shared" si="29"/>
        <v>1</v>
      </c>
      <c r="N483" s="7">
        <f t="shared" si="30"/>
        <v>0.5</v>
      </c>
      <c r="O483" s="7">
        <f t="shared" si="31"/>
        <v>-0.69314718055994529</v>
      </c>
    </row>
    <row r="484" spans="12:15" x14ac:dyDescent="0.15">
      <c r="L484" s="7">
        <f t="shared" si="28"/>
        <v>0</v>
      </c>
      <c r="M484" s="7">
        <f t="shared" si="29"/>
        <v>1</v>
      </c>
      <c r="N484" s="7">
        <f t="shared" si="30"/>
        <v>0.5</v>
      </c>
      <c r="O484" s="7">
        <f t="shared" si="31"/>
        <v>-0.69314718055994529</v>
      </c>
    </row>
    <row r="485" spans="12:15" x14ac:dyDescent="0.15">
      <c r="L485" s="7">
        <f t="shared" si="28"/>
        <v>0</v>
      </c>
      <c r="M485" s="7">
        <f t="shared" si="29"/>
        <v>1</v>
      </c>
      <c r="N485" s="7">
        <f t="shared" si="30"/>
        <v>0.5</v>
      </c>
      <c r="O485" s="7">
        <f t="shared" si="31"/>
        <v>-0.69314718055994529</v>
      </c>
    </row>
    <row r="486" spans="12:15" x14ac:dyDescent="0.15">
      <c r="L486" s="7">
        <f t="shared" si="28"/>
        <v>0</v>
      </c>
      <c r="M486" s="7">
        <f t="shared" si="29"/>
        <v>1</v>
      </c>
      <c r="N486" s="7">
        <f t="shared" si="30"/>
        <v>0.5</v>
      </c>
      <c r="O486" s="7">
        <f t="shared" si="31"/>
        <v>-0.69314718055994529</v>
      </c>
    </row>
    <row r="487" spans="12:15" x14ac:dyDescent="0.15">
      <c r="L487" s="7">
        <f t="shared" si="28"/>
        <v>0</v>
      </c>
      <c r="M487" s="7">
        <f t="shared" si="29"/>
        <v>1</v>
      </c>
      <c r="N487" s="7">
        <f t="shared" si="30"/>
        <v>0.5</v>
      </c>
      <c r="O487" s="7">
        <f t="shared" si="31"/>
        <v>-0.69314718055994529</v>
      </c>
    </row>
    <row r="488" spans="12:15" x14ac:dyDescent="0.15">
      <c r="L488" s="7">
        <f t="shared" si="28"/>
        <v>0</v>
      </c>
      <c r="M488" s="7">
        <f t="shared" si="29"/>
        <v>1</v>
      </c>
      <c r="N488" s="7">
        <f t="shared" si="30"/>
        <v>0.5</v>
      </c>
      <c r="O488" s="7">
        <f t="shared" si="31"/>
        <v>-0.69314718055994529</v>
      </c>
    </row>
    <row r="489" spans="12:15" x14ac:dyDescent="0.15">
      <c r="L489" s="7">
        <f t="shared" si="28"/>
        <v>0</v>
      </c>
      <c r="M489" s="7">
        <f t="shared" si="29"/>
        <v>1</v>
      </c>
      <c r="N489" s="7">
        <f t="shared" si="30"/>
        <v>0.5</v>
      </c>
      <c r="O489" s="7">
        <f t="shared" si="31"/>
        <v>-0.69314718055994529</v>
      </c>
    </row>
    <row r="490" spans="12:15" x14ac:dyDescent="0.15">
      <c r="L490" s="7">
        <f t="shared" si="28"/>
        <v>0</v>
      </c>
      <c r="M490" s="7">
        <f t="shared" si="29"/>
        <v>1</v>
      </c>
      <c r="N490" s="7">
        <f t="shared" si="30"/>
        <v>0.5</v>
      </c>
      <c r="O490" s="7">
        <f t="shared" si="31"/>
        <v>-0.69314718055994529</v>
      </c>
    </row>
    <row r="491" spans="12:15" x14ac:dyDescent="0.15">
      <c r="L491" s="7">
        <f t="shared" si="28"/>
        <v>0</v>
      </c>
      <c r="M491" s="7">
        <f t="shared" si="29"/>
        <v>1</v>
      </c>
      <c r="N491" s="7">
        <f t="shared" si="30"/>
        <v>0.5</v>
      </c>
      <c r="O491" s="7">
        <f t="shared" si="31"/>
        <v>-0.69314718055994529</v>
      </c>
    </row>
    <row r="492" spans="12:15" x14ac:dyDescent="0.15">
      <c r="L492" s="7">
        <f t="shared" si="28"/>
        <v>0</v>
      </c>
      <c r="M492" s="7">
        <f t="shared" si="29"/>
        <v>1</v>
      </c>
      <c r="N492" s="7">
        <f t="shared" si="30"/>
        <v>0.5</v>
      </c>
      <c r="O492" s="7">
        <f t="shared" si="31"/>
        <v>-0.69314718055994529</v>
      </c>
    </row>
    <row r="493" spans="12:15" x14ac:dyDescent="0.15">
      <c r="L493" s="7">
        <f t="shared" si="28"/>
        <v>0</v>
      </c>
      <c r="M493" s="7">
        <f t="shared" si="29"/>
        <v>1</v>
      </c>
      <c r="N493" s="7">
        <f t="shared" si="30"/>
        <v>0.5</v>
      </c>
      <c r="O493" s="7">
        <f t="shared" si="31"/>
        <v>-0.69314718055994529</v>
      </c>
    </row>
    <row r="494" spans="12:15" x14ac:dyDescent="0.15">
      <c r="L494" s="7">
        <f t="shared" si="28"/>
        <v>0</v>
      </c>
      <c r="M494" s="7">
        <f t="shared" si="29"/>
        <v>1</v>
      </c>
      <c r="N494" s="7">
        <f t="shared" si="30"/>
        <v>0.5</v>
      </c>
      <c r="O494" s="7">
        <f t="shared" si="31"/>
        <v>-0.69314718055994529</v>
      </c>
    </row>
    <row r="495" spans="12:15" x14ac:dyDescent="0.15">
      <c r="L495" s="7">
        <f t="shared" si="28"/>
        <v>0</v>
      </c>
      <c r="M495" s="7">
        <f t="shared" si="29"/>
        <v>1</v>
      </c>
      <c r="N495" s="7">
        <f t="shared" si="30"/>
        <v>0.5</v>
      </c>
      <c r="O495" s="7">
        <f t="shared" si="31"/>
        <v>-0.69314718055994529</v>
      </c>
    </row>
    <row r="496" spans="12:15" x14ac:dyDescent="0.15">
      <c r="L496" s="7">
        <f t="shared" si="28"/>
        <v>0</v>
      </c>
      <c r="M496" s="7">
        <f t="shared" si="29"/>
        <v>1</v>
      </c>
      <c r="N496" s="7">
        <f t="shared" si="30"/>
        <v>0.5</v>
      </c>
      <c r="O496" s="7">
        <f t="shared" si="31"/>
        <v>-0.69314718055994529</v>
      </c>
    </row>
    <row r="497" spans="12:15" x14ac:dyDescent="0.15">
      <c r="L497" s="7">
        <f t="shared" si="28"/>
        <v>0</v>
      </c>
      <c r="M497" s="7">
        <f t="shared" si="29"/>
        <v>1</v>
      </c>
      <c r="N497" s="7">
        <f t="shared" si="30"/>
        <v>0.5</v>
      </c>
      <c r="O497" s="7">
        <f t="shared" si="31"/>
        <v>-0.69314718055994529</v>
      </c>
    </row>
    <row r="498" spans="12:15" x14ac:dyDescent="0.15">
      <c r="L498" s="7">
        <f t="shared" si="28"/>
        <v>0</v>
      </c>
      <c r="M498" s="7">
        <f t="shared" si="29"/>
        <v>1</v>
      </c>
      <c r="N498" s="7">
        <f t="shared" si="30"/>
        <v>0.5</v>
      </c>
      <c r="O498" s="7">
        <f t="shared" si="31"/>
        <v>-0.69314718055994529</v>
      </c>
    </row>
    <row r="499" spans="12:15" x14ac:dyDescent="0.15">
      <c r="L499" s="7">
        <f t="shared" si="28"/>
        <v>0</v>
      </c>
      <c r="M499" s="7">
        <f t="shared" si="29"/>
        <v>1</v>
      </c>
      <c r="N499" s="7">
        <f t="shared" si="30"/>
        <v>0.5</v>
      </c>
      <c r="O499" s="7">
        <f t="shared" si="31"/>
        <v>-0.69314718055994529</v>
      </c>
    </row>
    <row r="500" spans="12:15" x14ac:dyDescent="0.15">
      <c r="L500" s="7">
        <f t="shared" si="28"/>
        <v>0</v>
      </c>
      <c r="M500" s="7">
        <f t="shared" si="29"/>
        <v>1</v>
      </c>
      <c r="N500" s="7">
        <f t="shared" si="30"/>
        <v>0.5</v>
      </c>
      <c r="O500" s="7">
        <f t="shared" si="31"/>
        <v>-0.69314718055994529</v>
      </c>
    </row>
    <row r="501" spans="12:15" x14ac:dyDescent="0.15">
      <c r="L501" s="7">
        <f t="shared" si="28"/>
        <v>0</v>
      </c>
      <c r="M501" s="7">
        <f t="shared" si="29"/>
        <v>1</v>
      </c>
      <c r="N501" s="7">
        <f t="shared" si="30"/>
        <v>0.5</v>
      </c>
      <c r="O501" s="7">
        <f t="shared" si="31"/>
        <v>-0.69314718055994529</v>
      </c>
    </row>
    <row r="502" spans="12:15" x14ac:dyDescent="0.15">
      <c r="L502" s="7">
        <f t="shared" si="28"/>
        <v>0</v>
      </c>
      <c r="M502" s="7">
        <f t="shared" si="29"/>
        <v>1</v>
      </c>
      <c r="N502" s="7">
        <f t="shared" si="30"/>
        <v>0.5</v>
      </c>
      <c r="O502" s="7">
        <f t="shared" si="31"/>
        <v>-0.69314718055994529</v>
      </c>
    </row>
    <row r="503" spans="12:15" x14ac:dyDescent="0.15">
      <c r="L503" s="7">
        <f t="shared" si="28"/>
        <v>0</v>
      </c>
      <c r="M503" s="7">
        <f t="shared" si="29"/>
        <v>1</v>
      </c>
      <c r="N503" s="7">
        <f t="shared" si="30"/>
        <v>0.5</v>
      </c>
      <c r="O503" s="7">
        <f t="shared" si="31"/>
        <v>-0.69314718055994529</v>
      </c>
    </row>
    <row r="504" spans="12:15" x14ac:dyDescent="0.15">
      <c r="L504" s="7">
        <f t="shared" si="28"/>
        <v>0</v>
      </c>
      <c r="M504" s="7">
        <f t="shared" si="29"/>
        <v>1</v>
      </c>
      <c r="N504" s="7">
        <f t="shared" si="30"/>
        <v>0.5</v>
      </c>
      <c r="O504" s="7">
        <f t="shared" si="31"/>
        <v>-0.69314718055994529</v>
      </c>
    </row>
    <row r="505" spans="12:15" x14ac:dyDescent="0.15">
      <c r="L505" s="7">
        <f t="shared" si="28"/>
        <v>0</v>
      </c>
      <c r="M505" s="7">
        <f t="shared" si="29"/>
        <v>1</v>
      </c>
      <c r="N505" s="7">
        <f t="shared" si="30"/>
        <v>0.5</v>
      </c>
      <c r="O505" s="7">
        <f t="shared" si="31"/>
        <v>-0.69314718055994529</v>
      </c>
    </row>
    <row r="506" spans="12:15" x14ac:dyDescent="0.15">
      <c r="L506" s="7">
        <f t="shared" si="28"/>
        <v>0</v>
      </c>
      <c r="M506" s="7">
        <f t="shared" si="29"/>
        <v>1</v>
      </c>
      <c r="N506" s="7">
        <f t="shared" si="30"/>
        <v>0.5</v>
      </c>
      <c r="O506" s="7">
        <f t="shared" si="31"/>
        <v>-0.69314718055994529</v>
      </c>
    </row>
    <row r="507" spans="12:15" x14ac:dyDescent="0.15">
      <c r="L507" s="7">
        <f t="shared" si="28"/>
        <v>0</v>
      </c>
      <c r="M507" s="7">
        <f t="shared" si="29"/>
        <v>1</v>
      </c>
      <c r="N507" s="7">
        <f t="shared" si="30"/>
        <v>0.5</v>
      </c>
      <c r="O507" s="7">
        <f t="shared" si="31"/>
        <v>-0.69314718055994529</v>
      </c>
    </row>
    <row r="508" spans="12:15" x14ac:dyDescent="0.15">
      <c r="L508" s="7">
        <f t="shared" si="28"/>
        <v>0</v>
      </c>
      <c r="M508" s="7">
        <f t="shared" si="29"/>
        <v>1</v>
      </c>
      <c r="N508" s="7">
        <f t="shared" si="30"/>
        <v>0.5</v>
      </c>
      <c r="O508" s="7">
        <f t="shared" si="31"/>
        <v>-0.69314718055994529</v>
      </c>
    </row>
    <row r="509" spans="12:15" x14ac:dyDescent="0.15">
      <c r="L509" s="7">
        <f t="shared" si="28"/>
        <v>0</v>
      </c>
      <c r="M509" s="7">
        <f t="shared" si="29"/>
        <v>1</v>
      </c>
      <c r="N509" s="7">
        <f t="shared" si="30"/>
        <v>0.5</v>
      </c>
      <c r="O509" s="7">
        <f t="shared" si="31"/>
        <v>-0.69314718055994529</v>
      </c>
    </row>
    <row r="510" spans="12:15" x14ac:dyDescent="0.15">
      <c r="L510" s="7">
        <f t="shared" si="28"/>
        <v>0</v>
      </c>
      <c r="M510" s="7">
        <f t="shared" si="29"/>
        <v>1</v>
      </c>
      <c r="N510" s="7">
        <f t="shared" si="30"/>
        <v>0.5</v>
      </c>
      <c r="O510" s="7">
        <f t="shared" si="31"/>
        <v>-0.69314718055994529</v>
      </c>
    </row>
    <row r="511" spans="12:15" x14ac:dyDescent="0.15">
      <c r="L511" s="7">
        <f t="shared" si="28"/>
        <v>0</v>
      </c>
      <c r="M511" s="7">
        <f t="shared" si="29"/>
        <v>1</v>
      </c>
      <c r="N511" s="7">
        <f t="shared" si="30"/>
        <v>0.5</v>
      </c>
      <c r="O511" s="7">
        <f t="shared" si="31"/>
        <v>-0.69314718055994529</v>
      </c>
    </row>
    <row r="512" spans="12:15" x14ac:dyDescent="0.15">
      <c r="L512" s="7">
        <f t="shared" si="28"/>
        <v>0</v>
      </c>
      <c r="M512" s="7">
        <f t="shared" si="29"/>
        <v>1</v>
      </c>
      <c r="N512" s="7">
        <f t="shared" si="30"/>
        <v>0.5</v>
      </c>
      <c r="O512" s="7">
        <f t="shared" si="31"/>
        <v>-0.69314718055994529</v>
      </c>
    </row>
    <row r="513" spans="12:15" x14ac:dyDescent="0.15">
      <c r="L513" s="7">
        <f t="shared" si="28"/>
        <v>0</v>
      </c>
      <c r="M513" s="7">
        <f t="shared" si="29"/>
        <v>1</v>
      </c>
      <c r="N513" s="7">
        <f t="shared" si="30"/>
        <v>0.5</v>
      </c>
      <c r="O513" s="7">
        <f t="shared" si="31"/>
        <v>-0.69314718055994529</v>
      </c>
    </row>
    <row r="514" spans="12:15" x14ac:dyDescent="0.15">
      <c r="L514" s="7">
        <f t="shared" si="28"/>
        <v>0</v>
      </c>
      <c r="M514" s="7">
        <f t="shared" si="29"/>
        <v>1</v>
      </c>
      <c r="N514" s="7">
        <f t="shared" si="30"/>
        <v>0.5</v>
      </c>
      <c r="O514" s="7">
        <f t="shared" si="31"/>
        <v>-0.69314718055994529</v>
      </c>
    </row>
    <row r="515" spans="12:15" x14ac:dyDescent="0.15">
      <c r="L515" s="7">
        <f t="shared" ref="L515:L578" si="32">$Q$1 + $Q$2*B515+$Q$3*C515+ $Q$4*D515+$Q$5*E515+$Q$6*F515+$Q$7*G515+H515*$Q$8+I515*$Q$9+J515*$Q$10+K515*$Q$11</f>
        <v>0</v>
      </c>
      <c r="M515" s="7">
        <f t="shared" ref="M515:M578" si="33">EXP(L515)</f>
        <v>1</v>
      </c>
      <c r="N515" s="7">
        <f t="shared" ref="N515:N578" si="34">1/(1+M515)</f>
        <v>0.5</v>
      </c>
      <c r="O515" s="7">
        <f t="shared" ref="O515:O578" si="35">A515*LN(N515)+(1-A515)*LN(1-N515)</f>
        <v>-0.69314718055994529</v>
      </c>
    </row>
    <row r="516" spans="12:15" x14ac:dyDescent="0.15">
      <c r="L516" s="7">
        <f t="shared" si="32"/>
        <v>0</v>
      </c>
      <c r="M516" s="7">
        <f t="shared" si="33"/>
        <v>1</v>
      </c>
      <c r="N516" s="7">
        <f t="shared" si="34"/>
        <v>0.5</v>
      </c>
      <c r="O516" s="7">
        <f t="shared" si="35"/>
        <v>-0.69314718055994529</v>
      </c>
    </row>
    <row r="517" spans="12:15" x14ac:dyDescent="0.15">
      <c r="L517" s="7">
        <f t="shared" si="32"/>
        <v>0</v>
      </c>
      <c r="M517" s="7">
        <f t="shared" si="33"/>
        <v>1</v>
      </c>
      <c r="N517" s="7">
        <f t="shared" si="34"/>
        <v>0.5</v>
      </c>
      <c r="O517" s="7">
        <f t="shared" si="35"/>
        <v>-0.69314718055994529</v>
      </c>
    </row>
    <row r="518" spans="12:15" x14ac:dyDescent="0.15">
      <c r="L518" s="7">
        <f t="shared" si="32"/>
        <v>0</v>
      </c>
      <c r="M518" s="7">
        <f t="shared" si="33"/>
        <v>1</v>
      </c>
      <c r="N518" s="7">
        <f t="shared" si="34"/>
        <v>0.5</v>
      </c>
      <c r="O518" s="7">
        <f t="shared" si="35"/>
        <v>-0.69314718055994529</v>
      </c>
    </row>
    <row r="519" spans="12:15" x14ac:dyDescent="0.15">
      <c r="L519" s="7">
        <f t="shared" si="32"/>
        <v>0</v>
      </c>
      <c r="M519" s="7">
        <f t="shared" si="33"/>
        <v>1</v>
      </c>
      <c r="N519" s="7">
        <f t="shared" si="34"/>
        <v>0.5</v>
      </c>
      <c r="O519" s="7">
        <f t="shared" si="35"/>
        <v>-0.69314718055994529</v>
      </c>
    </row>
    <row r="520" spans="12:15" x14ac:dyDescent="0.15">
      <c r="L520" s="7">
        <f t="shared" si="32"/>
        <v>0</v>
      </c>
      <c r="M520" s="7">
        <f t="shared" si="33"/>
        <v>1</v>
      </c>
      <c r="N520" s="7">
        <f t="shared" si="34"/>
        <v>0.5</v>
      </c>
      <c r="O520" s="7">
        <f t="shared" si="35"/>
        <v>-0.69314718055994529</v>
      </c>
    </row>
    <row r="521" spans="12:15" x14ac:dyDescent="0.15">
      <c r="L521" s="7">
        <f t="shared" si="32"/>
        <v>0</v>
      </c>
      <c r="M521" s="7">
        <f t="shared" si="33"/>
        <v>1</v>
      </c>
      <c r="N521" s="7">
        <f t="shared" si="34"/>
        <v>0.5</v>
      </c>
      <c r="O521" s="7">
        <f t="shared" si="35"/>
        <v>-0.69314718055994529</v>
      </c>
    </row>
    <row r="522" spans="12:15" x14ac:dyDescent="0.15">
      <c r="L522" s="7">
        <f t="shared" si="32"/>
        <v>0</v>
      </c>
      <c r="M522" s="7">
        <f t="shared" si="33"/>
        <v>1</v>
      </c>
      <c r="N522" s="7">
        <f t="shared" si="34"/>
        <v>0.5</v>
      </c>
      <c r="O522" s="7">
        <f t="shared" si="35"/>
        <v>-0.69314718055994529</v>
      </c>
    </row>
    <row r="523" spans="12:15" x14ac:dyDescent="0.15">
      <c r="L523" s="7">
        <f t="shared" si="32"/>
        <v>0</v>
      </c>
      <c r="M523" s="7">
        <f t="shared" si="33"/>
        <v>1</v>
      </c>
      <c r="N523" s="7">
        <f t="shared" si="34"/>
        <v>0.5</v>
      </c>
      <c r="O523" s="7">
        <f t="shared" si="35"/>
        <v>-0.69314718055994529</v>
      </c>
    </row>
    <row r="524" spans="12:15" x14ac:dyDescent="0.15">
      <c r="L524" s="7">
        <f t="shared" si="32"/>
        <v>0</v>
      </c>
      <c r="M524" s="7">
        <f t="shared" si="33"/>
        <v>1</v>
      </c>
      <c r="N524" s="7">
        <f t="shared" si="34"/>
        <v>0.5</v>
      </c>
      <c r="O524" s="7">
        <f t="shared" si="35"/>
        <v>-0.69314718055994529</v>
      </c>
    </row>
    <row r="525" spans="12:15" x14ac:dyDescent="0.15">
      <c r="L525" s="7">
        <f t="shared" si="32"/>
        <v>0</v>
      </c>
      <c r="M525" s="7">
        <f t="shared" si="33"/>
        <v>1</v>
      </c>
      <c r="N525" s="7">
        <f t="shared" si="34"/>
        <v>0.5</v>
      </c>
      <c r="O525" s="7">
        <f t="shared" si="35"/>
        <v>-0.69314718055994529</v>
      </c>
    </row>
    <row r="526" spans="12:15" x14ac:dyDescent="0.15">
      <c r="L526" s="7">
        <f t="shared" si="32"/>
        <v>0</v>
      </c>
      <c r="M526" s="7">
        <f t="shared" si="33"/>
        <v>1</v>
      </c>
      <c r="N526" s="7">
        <f t="shared" si="34"/>
        <v>0.5</v>
      </c>
      <c r="O526" s="7">
        <f t="shared" si="35"/>
        <v>-0.69314718055994529</v>
      </c>
    </row>
    <row r="527" spans="12:15" x14ac:dyDescent="0.15">
      <c r="L527" s="7">
        <f t="shared" si="32"/>
        <v>0</v>
      </c>
      <c r="M527" s="7">
        <f t="shared" si="33"/>
        <v>1</v>
      </c>
      <c r="N527" s="7">
        <f t="shared" si="34"/>
        <v>0.5</v>
      </c>
      <c r="O527" s="7">
        <f t="shared" si="35"/>
        <v>-0.69314718055994529</v>
      </c>
    </row>
    <row r="528" spans="12:15" x14ac:dyDescent="0.15">
      <c r="L528" s="7">
        <f t="shared" si="32"/>
        <v>0</v>
      </c>
      <c r="M528" s="7">
        <f t="shared" si="33"/>
        <v>1</v>
      </c>
      <c r="N528" s="7">
        <f t="shared" si="34"/>
        <v>0.5</v>
      </c>
      <c r="O528" s="7">
        <f t="shared" si="35"/>
        <v>-0.69314718055994529</v>
      </c>
    </row>
    <row r="529" spans="12:15" x14ac:dyDescent="0.15">
      <c r="L529" s="7">
        <f t="shared" si="32"/>
        <v>0</v>
      </c>
      <c r="M529" s="7">
        <f t="shared" si="33"/>
        <v>1</v>
      </c>
      <c r="N529" s="7">
        <f t="shared" si="34"/>
        <v>0.5</v>
      </c>
      <c r="O529" s="7">
        <f t="shared" si="35"/>
        <v>-0.69314718055994529</v>
      </c>
    </row>
    <row r="530" spans="12:15" x14ac:dyDescent="0.15">
      <c r="L530" s="7">
        <f t="shared" si="32"/>
        <v>0</v>
      </c>
      <c r="M530" s="7">
        <f t="shared" si="33"/>
        <v>1</v>
      </c>
      <c r="N530" s="7">
        <f t="shared" si="34"/>
        <v>0.5</v>
      </c>
      <c r="O530" s="7">
        <f t="shared" si="35"/>
        <v>-0.69314718055994529</v>
      </c>
    </row>
    <row r="531" spans="12:15" x14ac:dyDescent="0.15">
      <c r="L531" s="7">
        <f t="shared" si="32"/>
        <v>0</v>
      </c>
      <c r="M531" s="7">
        <f t="shared" si="33"/>
        <v>1</v>
      </c>
      <c r="N531" s="7">
        <f t="shared" si="34"/>
        <v>0.5</v>
      </c>
      <c r="O531" s="7">
        <f t="shared" si="35"/>
        <v>-0.69314718055994529</v>
      </c>
    </row>
    <row r="532" spans="12:15" x14ac:dyDescent="0.15">
      <c r="L532" s="7">
        <f t="shared" si="32"/>
        <v>0</v>
      </c>
      <c r="M532" s="7">
        <f t="shared" si="33"/>
        <v>1</v>
      </c>
      <c r="N532" s="7">
        <f t="shared" si="34"/>
        <v>0.5</v>
      </c>
      <c r="O532" s="7">
        <f t="shared" si="35"/>
        <v>-0.69314718055994529</v>
      </c>
    </row>
    <row r="533" spans="12:15" x14ac:dyDescent="0.15">
      <c r="L533" s="7">
        <f t="shared" si="32"/>
        <v>0</v>
      </c>
      <c r="M533" s="7">
        <f t="shared" si="33"/>
        <v>1</v>
      </c>
      <c r="N533" s="7">
        <f t="shared" si="34"/>
        <v>0.5</v>
      </c>
      <c r="O533" s="7">
        <f t="shared" si="35"/>
        <v>-0.69314718055994529</v>
      </c>
    </row>
    <row r="534" spans="12:15" x14ac:dyDescent="0.15">
      <c r="L534" s="7">
        <f t="shared" si="32"/>
        <v>0</v>
      </c>
      <c r="M534" s="7">
        <f t="shared" si="33"/>
        <v>1</v>
      </c>
      <c r="N534" s="7">
        <f t="shared" si="34"/>
        <v>0.5</v>
      </c>
      <c r="O534" s="7">
        <f t="shared" si="35"/>
        <v>-0.69314718055994529</v>
      </c>
    </row>
    <row r="535" spans="12:15" x14ac:dyDescent="0.15">
      <c r="L535" s="7">
        <f t="shared" si="32"/>
        <v>0</v>
      </c>
      <c r="M535" s="7">
        <f t="shared" si="33"/>
        <v>1</v>
      </c>
      <c r="N535" s="7">
        <f t="shared" si="34"/>
        <v>0.5</v>
      </c>
      <c r="O535" s="7">
        <f t="shared" si="35"/>
        <v>-0.69314718055994529</v>
      </c>
    </row>
    <row r="536" spans="12:15" x14ac:dyDescent="0.15">
      <c r="L536" s="7">
        <f t="shared" si="32"/>
        <v>0</v>
      </c>
      <c r="M536" s="7">
        <f t="shared" si="33"/>
        <v>1</v>
      </c>
      <c r="N536" s="7">
        <f t="shared" si="34"/>
        <v>0.5</v>
      </c>
      <c r="O536" s="7">
        <f t="shared" si="35"/>
        <v>-0.69314718055994529</v>
      </c>
    </row>
    <row r="537" spans="12:15" x14ac:dyDescent="0.15">
      <c r="L537" s="7">
        <f t="shared" si="32"/>
        <v>0</v>
      </c>
      <c r="M537" s="7">
        <f t="shared" si="33"/>
        <v>1</v>
      </c>
      <c r="N537" s="7">
        <f t="shared" si="34"/>
        <v>0.5</v>
      </c>
      <c r="O537" s="7">
        <f t="shared" si="35"/>
        <v>-0.69314718055994529</v>
      </c>
    </row>
    <row r="538" spans="12:15" x14ac:dyDescent="0.15">
      <c r="L538" s="7">
        <f t="shared" si="32"/>
        <v>0</v>
      </c>
      <c r="M538" s="7">
        <f t="shared" si="33"/>
        <v>1</v>
      </c>
      <c r="N538" s="7">
        <f t="shared" si="34"/>
        <v>0.5</v>
      </c>
      <c r="O538" s="7">
        <f t="shared" si="35"/>
        <v>-0.69314718055994529</v>
      </c>
    </row>
    <row r="539" spans="12:15" x14ac:dyDescent="0.15">
      <c r="L539" s="7">
        <f t="shared" si="32"/>
        <v>0</v>
      </c>
      <c r="M539" s="7">
        <f t="shared" si="33"/>
        <v>1</v>
      </c>
      <c r="N539" s="7">
        <f t="shared" si="34"/>
        <v>0.5</v>
      </c>
      <c r="O539" s="7">
        <f t="shared" si="35"/>
        <v>-0.69314718055994529</v>
      </c>
    </row>
    <row r="540" spans="12:15" x14ac:dyDescent="0.15">
      <c r="L540" s="7">
        <f t="shared" si="32"/>
        <v>0</v>
      </c>
      <c r="M540" s="7">
        <f t="shared" si="33"/>
        <v>1</v>
      </c>
      <c r="N540" s="7">
        <f t="shared" si="34"/>
        <v>0.5</v>
      </c>
      <c r="O540" s="7">
        <f t="shared" si="35"/>
        <v>-0.69314718055994529</v>
      </c>
    </row>
    <row r="541" spans="12:15" x14ac:dyDescent="0.15">
      <c r="L541" s="7">
        <f t="shared" si="32"/>
        <v>0</v>
      </c>
      <c r="M541" s="7">
        <f t="shared" si="33"/>
        <v>1</v>
      </c>
      <c r="N541" s="7">
        <f t="shared" si="34"/>
        <v>0.5</v>
      </c>
      <c r="O541" s="7">
        <f t="shared" si="35"/>
        <v>-0.69314718055994529</v>
      </c>
    </row>
    <row r="542" spans="12:15" x14ac:dyDescent="0.15">
      <c r="L542" s="7">
        <f t="shared" si="32"/>
        <v>0</v>
      </c>
      <c r="M542" s="7">
        <f t="shared" si="33"/>
        <v>1</v>
      </c>
      <c r="N542" s="7">
        <f t="shared" si="34"/>
        <v>0.5</v>
      </c>
      <c r="O542" s="7">
        <f t="shared" si="35"/>
        <v>-0.69314718055994529</v>
      </c>
    </row>
    <row r="543" spans="12:15" x14ac:dyDescent="0.15">
      <c r="L543" s="7">
        <f t="shared" si="32"/>
        <v>0</v>
      </c>
      <c r="M543" s="7">
        <f t="shared" si="33"/>
        <v>1</v>
      </c>
      <c r="N543" s="7">
        <f t="shared" si="34"/>
        <v>0.5</v>
      </c>
      <c r="O543" s="7">
        <f t="shared" si="35"/>
        <v>-0.69314718055994529</v>
      </c>
    </row>
    <row r="544" spans="12:15" x14ac:dyDescent="0.15">
      <c r="L544" s="7">
        <f t="shared" si="32"/>
        <v>0</v>
      </c>
      <c r="M544" s="7">
        <f t="shared" si="33"/>
        <v>1</v>
      </c>
      <c r="N544" s="7">
        <f t="shared" si="34"/>
        <v>0.5</v>
      </c>
      <c r="O544" s="7">
        <f t="shared" si="35"/>
        <v>-0.69314718055994529</v>
      </c>
    </row>
    <row r="545" spans="12:15" x14ac:dyDescent="0.15">
      <c r="L545" s="7">
        <f t="shared" si="32"/>
        <v>0</v>
      </c>
      <c r="M545" s="7">
        <f t="shared" si="33"/>
        <v>1</v>
      </c>
      <c r="N545" s="7">
        <f t="shared" si="34"/>
        <v>0.5</v>
      </c>
      <c r="O545" s="7">
        <f t="shared" si="35"/>
        <v>-0.69314718055994529</v>
      </c>
    </row>
    <row r="546" spans="12:15" x14ac:dyDescent="0.15">
      <c r="L546" s="7">
        <f t="shared" si="32"/>
        <v>0</v>
      </c>
      <c r="M546" s="7">
        <f t="shared" si="33"/>
        <v>1</v>
      </c>
      <c r="N546" s="7">
        <f t="shared" si="34"/>
        <v>0.5</v>
      </c>
      <c r="O546" s="7">
        <f t="shared" si="35"/>
        <v>-0.69314718055994529</v>
      </c>
    </row>
    <row r="547" spans="12:15" x14ac:dyDescent="0.15">
      <c r="L547" s="7">
        <f t="shared" si="32"/>
        <v>0</v>
      </c>
      <c r="M547" s="7">
        <f t="shared" si="33"/>
        <v>1</v>
      </c>
      <c r="N547" s="7">
        <f t="shared" si="34"/>
        <v>0.5</v>
      </c>
      <c r="O547" s="7">
        <f t="shared" si="35"/>
        <v>-0.69314718055994529</v>
      </c>
    </row>
    <row r="548" spans="12:15" x14ac:dyDescent="0.15">
      <c r="L548" s="7">
        <f t="shared" si="32"/>
        <v>0</v>
      </c>
      <c r="M548" s="7">
        <f t="shared" si="33"/>
        <v>1</v>
      </c>
      <c r="N548" s="7">
        <f t="shared" si="34"/>
        <v>0.5</v>
      </c>
      <c r="O548" s="7">
        <f t="shared" si="35"/>
        <v>-0.69314718055994529</v>
      </c>
    </row>
    <row r="549" spans="12:15" x14ac:dyDescent="0.15">
      <c r="L549" s="7">
        <f t="shared" si="32"/>
        <v>0</v>
      </c>
      <c r="M549" s="7">
        <f t="shared" si="33"/>
        <v>1</v>
      </c>
      <c r="N549" s="7">
        <f t="shared" si="34"/>
        <v>0.5</v>
      </c>
      <c r="O549" s="7">
        <f t="shared" si="35"/>
        <v>-0.69314718055994529</v>
      </c>
    </row>
    <row r="550" spans="12:15" x14ac:dyDescent="0.15">
      <c r="L550" s="7">
        <f t="shared" si="32"/>
        <v>0</v>
      </c>
      <c r="M550" s="7">
        <f t="shared" si="33"/>
        <v>1</v>
      </c>
      <c r="N550" s="7">
        <f t="shared" si="34"/>
        <v>0.5</v>
      </c>
      <c r="O550" s="7">
        <f t="shared" si="35"/>
        <v>-0.69314718055994529</v>
      </c>
    </row>
    <row r="551" spans="12:15" x14ac:dyDescent="0.15">
      <c r="L551" s="7">
        <f t="shared" si="32"/>
        <v>0</v>
      </c>
      <c r="M551" s="7">
        <f t="shared" si="33"/>
        <v>1</v>
      </c>
      <c r="N551" s="7">
        <f t="shared" si="34"/>
        <v>0.5</v>
      </c>
      <c r="O551" s="7">
        <f t="shared" si="35"/>
        <v>-0.69314718055994529</v>
      </c>
    </row>
    <row r="552" spans="12:15" x14ac:dyDescent="0.15">
      <c r="L552" s="7">
        <f t="shared" si="32"/>
        <v>0</v>
      </c>
      <c r="M552" s="7">
        <f t="shared" si="33"/>
        <v>1</v>
      </c>
      <c r="N552" s="7">
        <f t="shared" si="34"/>
        <v>0.5</v>
      </c>
      <c r="O552" s="7">
        <f t="shared" si="35"/>
        <v>-0.69314718055994529</v>
      </c>
    </row>
    <row r="553" spans="12:15" x14ac:dyDescent="0.15">
      <c r="L553" s="7">
        <f t="shared" si="32"/>
        <v>0</v>
      </c>
      <c r="M553" s="7">
        <f t="shared" si="33"/>
        <v>1</v>
      </c>
      <c r="N553" s="7">
        <f t="shared" si="34"/>
        <v>0.5</v>
      </c>
      <c r="O553" s="7">
        <f t="shared" si="35"/>
        <v>-0.69314718055994529</v>
      </c>
    </row>
    <row r="554" spans="12:15" x14ac:dyDescent="0.15">
      <c r="L554" s="7">
        <f t="shared" si="32"/>
        <v>0</v>
      </c>
      <c r="M554" s="7">
        <f t="shared" si="33"/>
        <v>1</v>
      </c>
      <c r="N554" s="7">
        <f t="shared" si="34"/>
        <v>0.5</v>
      </c>
      <c r="O554" s="7">
        <f t="shared" si="35"/>
        <v>-0.69314718055994529</v>
      </c>
    </row>
    <row r="555" spans="12:15" x14ac:dyDescent="0.15">
      <c r="L555" s="7">
        <f t="shared" si="32"/>
        <v>0</v>
      </c>
      <c r="M555" s="7">
        <f t="shared" si="33"/>
        <v>1</v>
      </c>
      <c r="N555" s="7">
        <f t="shared" si="34"/>
        <v>0.5</v>
      </c>
      <c r="O555" s="7">
        <f t="shared" si="35"/>
        <v>-0.69314718055994529</v>
      </c>
    </row>
    <row r="556" spans="12:15" x14ac:dyDescent="0.15">
      <c r="L556" s="7">
        <f t="shared" si="32"/>
        <v>0</v>
      </c>
      <c r="M556" s="7">
        <f t="shared" si="33"/>
        <v>1</v>
      </c>
      <c r="N556" s="7">
        <f t="shared" si="34"/>
        <v>0.5</v>
      </c>
      <c r="O556" s="7">
        <f t="shared" si="35"/>
        <v>-0.69314718055994529</v>
      </c>
    </row>
    <row r="557" spans="12:15" x14ac:dyDescent="0.15">
      <c r="L557" s="7">
        <f t="shared" si="32"/>
        <v>0</v>
      </c>
      <c r="M557" s="7">
        <f t="shared" si="33"/>
        <v>1</v>
      </c>
      <c r="N557" s="7">
        <f t="shared" si="34"/>
        <v>0.5</v>
      </c>
      <c r="O557" s="7">
        <f t="shared" si="35"/>
        <v>-0.69314718055994529</v>
      </c>
    </row>
    <row r="558" spans="12:15" x14ac:dyDescent="0.15">
      <c r="L558" s="7">
        <f t="shared" si="32"/>
        <v>0</v>
      </c>
      <c r="M558" s="7">
        <f t="shared" si="33"/>
        <v>1</v>
      </c>
      <c r="N558" s="7">
        <f t="shared" si="34"/>
        <v>0.5</v>
      </c>
      <c r="O558" s="7">
        <f t="shared" si="35"/>
        <v>-0.69314718055994529</v>
      </c>
    </row>
    <row r="559" spans="12:15" x14ac:dyDescent="0.15">
      <c r="L559" s="7">
        <f t="shared" si="32"/>
        <v>0</v>
      </c>
      <c r="M559" s="7">
        <f t="shared" si="33"/>
        <v>1</v>
      </c>
      <c r="N559" s="7">
        <f t="shared" si="34"/>
        <v>0.5</v>
      </c>
      <c r="O559" s="7">
        <f t="shared" si="35"/>
        <v>-0.69314718055994529</v>
      </c>
    </row>
    <row r="560" spans="12:15" x14ac:dyDescent="0.15">
      <c r="L560" s="7">
        <f t="shared" si="32"/>
        <v>0</v>
      </c>
      <c r="M560" s="7">
        <f t="shared" si="33"/>
        <v>1</v>
      </c>
      <c r="N560" s="7">
        <f t="shared" si="34"/>
        <v>0.5</v>
      </c>
      <c r="O560" s="7">
        <f t="shared" si="35"/>
        <v>-0.69314718055994529</v>
      </c>
    </row>
    <row r="561" spans="12:15" x14ac:dyDescent="0.15">
      <c r="L561" s="7">
        <f t="shared" si="32"/>
        <v>0</v>
      </c>
      <c r="M561" s="7">
        <f t="shared" si="33"/>
        <v>1</v>
      </c>
      <c r="N561" s="7">
        <f t="shared" si="34"/>
        <v>0.5</v>
      </c>
      <c r="O561" s="7">
        <f t="shared" si="35"/>
        <v>-0.69314718055994529</v>
      </c>
    </row>
    <row r="562" spans="12:15" x14ac:dyDescent="0.15">
      <c r="L562" s="7">
        <f t="shared" si="32"/>
        <v>0</v>
      </c>
      <c r="M562" s="7">
        <f t="shared" si="33"/>
        <v>1</v>
      </c>
      <c r="N562" s="7">
        <f t="shared" si="34"/>
        <v>0.5</v>
      </c>
      <c r="O562" s="7">
        <f t="shared" si="35"/>
        <v>-0.69314718055994529</v>
      </c>
    </row>
    <row r="563" spans="12:15" x14ac:dyDescent="0.15">
      <c r="L563" s="7">
        <f t="shared" si="32"/>
        <v>0</v>
      </c>
      <c r="M563" s="7">
        <f t="shared" si="33"/>
        <v>1</v>
      </c>
      <c r="N563" s="7">
        <f t="shared" si="34"/>
        <v>0.5</v>
      </c>
      <c r="O563" s="7">
        <f t="shared" si="35"/>
        <v>-0.69314718055994529</v>
      </c>
    </row>
    <row r="564" spans="12:15" x14ac:dyDescent="0.15">
      <c r="L564" s="7">
        <f t="shared" si="32"/>
        <v>0</v>
      </c>
      <c r="M564" s="7">
        <f t="shared" si="33"/>
        <v>1</v>
      </c>
      <c r="N564" s="7">
        <f t="shared" si="34"/>
        <v>0.5</v>
      </c>
      <c r="O564" s="7">
        <f t="shared" si="35"/>
        <v>-0.69314718055994529</v>
      </c>
    </row>
    <row r="565" spans="12:15" x14ac:dyDescent="0.15">
      <c r="L565" s="7">
        <f t="shared" si="32"/>
        <v>0</v>
      </c>
      <c r="M565" s="7">
        <f t="shared" si="33"/>
        <v>1</v>
      </c>
      <c r="N565" s="7">
        <f t="shared" si="34"/>
        <v>0.5</v>
      </c>
      <c r="O565" s="7">
        <f t="shared" si="35"/>
        <v>-0.69314718055994529</v>
      </c>
    </row>
    <row r="566" spans="12:15" x14ac:dyDescent="0.15">
      <c r="L566" s="7">
        <f t="shared" si="32"/>
        <v>0</v>
      </c>
      <c r="M566" s="7">
        <f t="shared" si="33"/>
        <v>1</v>
      </c>
      <c r="N566" s="7">
        <f t="shared" si="34"/>
        <v>0.5</v>
      </c>
      <c r="O566" s="7">
        <f t="shared" si="35"/>
        <v>-0.69314718055994529</v>
      </c>
    </row>
    <row r="567" spans="12:15" x14ac:dyDescent="0.15">
      <c r="L567" s="7">
        <f t="shared" si="32"/>
        <v>0</v>
      </c>
      <c r="M567" s="7">
        <f t="shared" si="33"/>
        <v>1</v>
      </c>
      <c r="N567" s="7">
        <f t="shared" si="34"/>
        <v>0.5</v>
      </c>
      <c r="O567" s="7">
        <f t="shared" si="35"/>
        <v>-0.69314718055994529</v>
      </c>
    </row>
    <row r="568" spans="12:15" x14ac:dyDescent="0.15">
      <c r="L568" s="7">
        <f t="shared" si="32"/>
        <v>0</v>
      </c>
      <c r="M568" s="7">
        <f t="shared" si="33"/>
        <v>1</v>
      </c>
      <c r="N568" s="7">
        <f t="shared" si="34"/>
        <v>0.5</v>
      </c>
      <c r="O568" s="7">
        <f t="shared" si="35"/>
        <v>-0.69314718055994529</v>
      </c>
    </row>
    <row r="569" spans="12:15" x14ac:dyDescent="0.15">
      <c r="L569" s="7">
        <f t="shared" si="32"/>
        <v>0</v>
      </c>
      <c r="M569" s="7">
        <f t="shared" si="33"/>
        <v>1</v>
      </c>
      <c r="N569" s="7">
        <f t="shared" si="34"/>
        <v>0.5</v>
      </c>
      <c r="O569" s="7">
        <f t="shared" si="35"/>
        <v>-0.69314718055994529</v>
      </c>
    </row>
    <row r="570" spans="12:15" x14ac:dyDescent="0.15">
      <c r="L570" s="7">
        <f t="shared" si="32"/>
        <v>0</v>
      </c>
      <c r="M570" s="7">
        <f t="shared" si="33"/>
        <v>1</v>
      </c>
      <c r="N570" s="7">
        <f t="shared" si="34"/>
        <v>0.5</v>
      </c>
      <c r="O570" s="7">
        <f t="shared" si="35"/>
        <v>-0.69314718055994529</v>
      </c>
    </row>
    <row r="571" spans="12:15" x14ac:dyDescent="0.15">
      <c r="L571" s="7">
        <f t="shared" si="32"/>
        <v>0</v>
      </c>
      <c r="M571" s="7">
        <f t="shared" si="33"/>
        <v>1</v>
      </c>
      <c r="N571" s="7">
        <f t="shared" si="34"/>
        <v>0.5</v>
      </c>
      <c r="O571" s="7">
        <f t="shared" si="35"/>
        <v>-0.69314718055994529</v>
      </c>
    </row>
    <row r="572" spans="12:15" x14ac:dyDescent="0.15">
      <c r="L572" s="7">
        <f t="shared" si="32"/>
        <v>0</v>
      </c>
      <c r="M572" s="7">
        <f t="shared" si="33"/>
        <v>1</v>
      </c>
      <c r="N572" s="7">
        <f t="shared" si="34"/>
        <v>0.5</v>
      </c>
      <c r="O572" s="7">
        <f t="shared" si="35"/>
        <v>-0.69314718055994529</v>
      </c>
    </row>
    <row r="573" spans="12:15" x14ac:dyDescent="0.15">
      <c r="L573" s="7">
        <f t="shared" si="32"/>
        <v>0</v>
      </c>
      <c r="M573" s="7">
        <f t="shared" si="33"/>
        <v>1</v>
      </c>
      <c r="N573" s="7">
        <f t="shared" si="34"/>
        <v>0.5</v>
      </c>
      <c r="O573" s="7">
        <f t="shared" si="35"/>
        <v>-0.69314718055994529</v>
      </c>
    </row>
    <row r="574" spans="12:15" x14ac:dyDescent="0.15">
      <c r="L574" s="7">
        <f t="shared" si="32"/>
        <v>0</v>
      </c>
      <c r="M574" s="7">
        <f t="shared" si="33"/>
        <v>1</v>
      </c>
      <c r="N574" s="7">
        <f t="shared" si="34"/>
        <v>0.5</v>
      </c>
      <c r="O574" s="7">
        <f t="shared" si="35"/>
        <v>-0.69314718055994529</v>
      </c>
    </row>
    <row r="575" spans="12:15" x14ac:dyDescent="0.15">
      <c r="L575" s="7">
        <f t="shared" si="32"/>
        <v>0</v>
      </c>
      <c r="M575" s="7">
        <f t="shared" si="33"/>
        <v>1</v>
      </c>
      <c r="N575" s="7">
        <f t="shared" si="34"/>
        <v>0.5</v>
      </c>
      <c r="O575" s="7">
        <f t="shared" si="35"/>
        <v>-0.69314718055994529</v>
      </c>
    </row>
    <row r="576" spans="12:15" x14ac:dyDescent="0.15">
      <c r="L576" s="7">
        <f t="shared" si="32"/>
        <v>0</v>
      </c>
      <c r="M576" s="7">
        <f t="shared" si="33"/>
        <v>1</v>
      </c>
      <c r="N576" s="7">
        <f t="shared" si="34"/>
        <v>0.5</v>
      </c>
      <c r="O576" s="7">
        <f t="shared" si="35"/>
        <v>-0.69314718055994529</v>
      </c>
    </row>
    <row r="577" spans="12:15" x14ac:dyDescent="0.15">
      <c r="L577" s="7">
        <f t="shared" si="32"/>
        <v>0</v>
      </c>
      <c r="M577" s="7">
        <f t="shared" si="33"/>
        <v>1</v>
      </c>
      <c r="N577" s="7">
        <f t="shared" si="34"/>
        <v>0.5</v>
      </c>
      <c r="O577" s="7">
        <f t="shared" si="35"/>
        <v>-0.69314718055994529</v>
      </c>
    </row>
    <row r="578" spans="12:15" x14ac:dyDescent="0.15">
      <c r="L578" s="7">
        <f t="shared" si="32"/>
        <v>0</v>
      </c>
      <c r="M578" s="7">
        <f t="shared" si="33"/>
        <v>1</v>
      </c>
      <c r="N578" s="7">
        <f t="shared" si="34"/>
        <v>0.5</v>
      </c>
      <c r="O578" s="7">
        <f t="shared" si="35"/>
        <v>-0.69314718055994529</v>
      </c>
    </row>
    <row r="579" spans="12:15" x14ac:dyDescent="0.15">
      <c r="L579" s="7">
        <f t="shared" ref="L579:L642" si="36">$Q$1 + $Q$2*B579+$Q$3*C579+ $Q$4*D579+$Q$5*E579+$Q$6*F579+$Q$7*G579+H579*$Q$8+I579*$Q$9+J579*$Q$10+K579*$Q$11</f>
        <v>0</v>
      </c>
      <c r="M579" s="7">
        <f t="shared" ref="M579:M642" si="37">EXP(L579)</f>
        <v>1</v>
      </c>
      <c r="N579" s="7">
        <f t="shared" ref="N579:N642" si="38">1/(1+M579)</f>
        <v>0.5</v>
      </c>
      <c r="O579" s="7">
        <f t="shared" ref="O579:O642" si="39">A579*LN(N579)+(1-A579)*LN(1-N579)</f>
        <v>-0.69314718055994529</v>
      </c>
    </row>
    <row r="580" spans="12:15" x14ac:dyDescent="0.15">
      <c r="L580" s="7">
        <f t="shared" si="36"/>
        <v>0</v>
      </c>
      <c r="M580" s="7">
        <f t="shared" si="37"/>
        <v>1</v>
      </c>
      <c r="N580" s="7">
        <f t="shared" si="38"/>
        <v>0.5</v>
      </c>
      <c r="O580" s="7">
        <f t="shared" si="39"/>
        <v>-0.69314718055994529</v>
      </c>
    </row>
    <row r="581" spans="12:15" x14ac:dyDescent="0.15">
      <c r="L581" s="7">
        <f t="shared" si="36"/>
        <v>0</v>
      </c>
      <c r="M581" s="7">
        <f t="shared" si="37"/>
        <v>1</v>
      </c>
      <c r="N581" s="7">
        <f t="shared" si="38"/>
        <v>0.5</v>
      </c>
      <c r="O581" s="7">
        <f t="shared" si="39"/>
        <v>-0.69314718055994529</v>
      </c>
    </row>
    <row r="582" spans="12:15" x14ac:dyDescent="0.15">
      <c r="L582" s="7">
        <f t="shared" si="36"/>
        <v>0</v>
      </c>
      <c r="M582" s="7">
        <f t="shared" si="37"/>
        <v>1</v>
      </c>
      <c r="N582" s="7">
        <f t="shared" si="38"/>
        <v>0.5</v>
      </c>
      <c r="O582" s="7">
        <f t="shared" si="39"/>
        <v>-0.69314718055994529</v>
      </c>
    </row>
    <row r="583" spans="12:15" x14ac:dyDescent="0.15">
      <c r="L583" s="7">
        <f t="shared" si="36"/>
        <v>0</v>
      </c>
      <c r="M583" s="7">
        <f t="shared" si="37"/>
        <v>1</v>
      </c>
      <c r="N583" s="7">
        <f t="shared" si="38"/>
        <v>0.5</v>
      </c>
      <c r="O583" s="7">
        <f t="shared" si="39"/>
        <v>-0.69314718055994529</v>
      </c>
    </row>
    <row r="584" spans="12:15" x14ac:dyDescent="0.15">
      <c r="L584" s="7">
        <f t="shared" si="36"/>
        <v>0</v>
      </c>
      <c r="M584" s="7">
        <f t="shared" si="37"/>
        <v>1</v>
      </c>
      <c r="N584" s="7">
        <f t="shared" si="38"/>
        <v>0.5</v>
      </c>
      <c r="O584" s="7">
        <f t="shared" si="39"/>
        <v>-0.69314718055994529</v>
      </c>
    </row>
    <row r="585" spans="12:15" x14ac:dyDescent="0.15">
      <c r="L585" s="7">
        <f t="shared" si="36"/>
        <v>0</v>
      </c>
      <c r="M585" s="7">
        <f t="shared" si="37"/>
        <v>1</v>
      </c>
      <c r="N585" s="7">
        <f t="shared" si="38"/>
        <v>0.5</v>
      </c>
      <c r="O585" s="7">
        <f t="shared" si="39"/>
        <v>-0.69314718055994529</v>
      </c>
    </row>
    <row r="586" spans="12:15" x14ac:dyDescent="0.15">
      <c r="L586" s="7">
        <f t="shared" si="36"/>
        <v>0</v>
      </c>
      <c r="M586" s="7">
        <f t="shared" si="37"/>
        <v>1</v>
      </c>
      <c r="N586" s="7">
        <f t="shared" si="38"/>
        <v>0.5</v>
      </c>
      <c r="O586" s="7">
        <f t="shared" si="39"/>
        <v>-0.69314718055994529</v>
      </c>
    </row>
    <row r="587" spans="12:15" x14ac:dyDescent="0.15">
      <c r="L587" s="7">
        <f t="shared" si="36"/>
        <v>0</v>
      </c>
      <c r="M587" s="7">
        <f t="shared" si="37"/>
        <v>1</v>
      </c>
      <c r="N587" s="7">
        <f t="shared" si="38"/>
        <v>0.5</v>
      </c>
      <c r="O587" s="7">
        <f t="shared" si="39"/>
        <v>-0.69314718055994529</v>
      </c>
    </row>
    <row r="588" spans="12:15" x14ac:dyDescent="0.15">
      <c r="L588" s="7">
        <f t="shared" si="36"/>
        <v>0</v>
      </c>
      <c r="M588" s="7">
        <f t="shared" si="37"/>
        <v>1</v>
      </c>
      <c r="N588" s="7">
        <f t="shared" si="38"/>
        <v>0.5</v>
      </c>
      <c r="O588" s="7">
        <f t="shared" si="39"/>
        <v>-0.69314718055994529</v>
      </c>
    </row>
    <row r="589" spans="12:15" x14ac:dyDescent="0.15">
      <c r="L589" s="7">
        <f t="shared" si="36"/>
        <v>0</v>
      </c>
      <c r="M589" s="7">
        <f t="shared" si="37"/>
        <v>1</v>
      </c>
      <c r="N589" s="7">
        <f t="shared" si="38"/>
        <v>0.5</v>
      </c>
      <c r="O589" s="7">
        <f t="shared" si="39"/>
        <v>-0.69314718055994529</v>
      </c>
    </row>
    <row r="590" spans="12:15" x14ac:dyDescent="0.15">
      <c r="L590" s="7">
        <f t="shared" si="36"/>
        <v>0</v>
      </c>
      <c r="M590" s="7">
        <f t="shared" si="37"/>
        <v>1</v>
      </c>
      <c r="N590" s="7">
        <f t="shared" si="38"/>
        <v>0.5</v>
      </c>
      <c r="O590" s="7">
        <f t="shared" si="39"/>
        <v>-0.69314718055994529</v>
      </c>
    </row>
    <row r="591" spans="12:15" x14ac:dyDescent="0.15">
      <c r="L591" s="7">
        <f t="shared" si="36"/>
        <v>0</v>
      </c>
      <c r="M591" s="7">
        <f t="shared" si="37"/>
        <v>1</v>
      </c>
      <c r="N591" s="7">
        <f t="shared" si="38"/>
        <v>0.5</v>
      </c>
      <c r="O591" s="7">
        <f t="shared" si="39"/>
        <v>-0.69314718055994529</v>
      </c>
    </row>
    <row r="592" spans="12:15" x14ac:dyDescent="0.15">
      <c r="L592" s="7">
        <f t="shared" si="36"/>
        <v>0</v>
      </c>
      <c r="M592" s="7">
        <f t="shared" si="37"/>
        <v>1</v>
      </c>
      <c r="N592" s="7">
        <f t="shared" si="38"/>
        <v>0.5</v>
      </c>
      <c r="O592" s="7">
        <f t="shared" si="39"/>
        <v>-0.69314718055994529</v>
      </c>
    </row>
    <row r="593" spans="12:15" x14ac:dyDescent="0.15">
      <c r="L593" s="7">
        <f t="shared" si="36"/>
        <v>0</v>
      </c>
      <c r="M593" s="7">
        <f t="shared" si="37"/>
        <v>1</v>
      </c>
      <c r="N593" s="7">
        <f t="shared" si="38"/>
        <v>0.5</v>
      </c>
      <c r="O593" s="7">
        <f t="shared" si="39"/>
        <v>-0.69314718055994529</v>
      </c>
    </row>
    <row r="594" spans="12:15" x14ac:dyDescent="0.15">
      <c r="L594" s="7">
        <f t="shared" si="36"/>
        <v>0</v>
      </c>
      <c r="M594" s="7">
        <f t="shared" si="37"/>
        <v>1</v>
      </c>
      <c r="N594" s="7">
        <f t="shared" si="38"/>
        <v>0.5</v>
      </c>
      <c r="O594" s="7">
        <f t="shared" si="39"/>
        <v>-0.69314718055994529</v>
      </c>
    </row>
    <row r="595" spans="12:15" x14ac:dyDescent="0.15">
      <c r="L595" s="7">
        <f t="shared" si="36"/>
        <v>0</v>
      </c>
      <c r="M595" s="7">
        <f t="shared" si="37"/>
        <v>1</v>
      </c>
      <c r="N595" s="7">
        <f t="shared" si="38"/>
        <v>0.5</v>
      </c>
      <c r="O595" s="7">
        <f t="shared" si="39"/>
        <v>-0.69314718055994529</v>
      </c>
    </row>
    <row r="596" spans="12:15" x14ac:dyDescent="0.15">
      <c r="L596" s="7">
        <f t="shared" si="36"/>
        <v>0</v>
      </c>
      <c r="M596" s="7">
        <f t="shared" si="37"/>
        <v>1</v>
      </c>
      <c r="N596" s="7">
        <f t="shared" si="38"/>
        <v>0.5</v>
      </c>
      <c r="O596" s="7">
        <f t="shared" si="39"/>
        <v>-0.69314718055994529</v>
      </c>
    </row>
    <row r="597" spans="12:15" x14ac:dyDescent="0.15">
      <c r="L597" s="7">
        <f t="shared" si="36"/>
        <v>0</v>
      </c>
      <c r="M597" s="7">
        <f t="shared" si="37"/>
        <v>1</v>
      </c>
      <c r="N597" s="7">
        <f t="shared" si="38"/>
        <v>0.5</v>
      </c>
      <c r="O597" s="7">
        <f t="shared" si="39"/>
        <v>-0.69314718055994529</v>
      </c>
    </row>
    <row r="598" spans="12:15" x14ac:dyDescent="0.15">
      <c r="L598" s="7">
        <f t="shared" si="36"/>
        <v>0</v>
      </c>
      <c r="M598" s="7">
        <f t="shared" si="37"/>
        <v>1</v>
      </c>
      <c r="N598" s="7">
        <f t="shared" si="38"/>
        <v>0.5</v>
      </c>
      <c r="O598" s="7">
        <f t="shared" si="39"/>
        <v>-0.69314718055994529</v>
      </c>
    </row>
    <row r="599" spans="12:15" x14ac:dyDescent="0.15">
      <c r="L599" s="7">
        <f t="shared" si="36"/>
        <v>0</v>
      </c>
      <c r="M599" s="7">
        <f t="shared" si="37"/>
        <v>1</v>
      </c>
      <c r="N599" s="7">
        <f t="shared" si="38"/>
        <v>0.5</v>
      </c>
      <c r="O599" s="7">
        <f t="shared" si="39"/>
        <v>-0.69314718055994529</v>
      </c>
    </row>
    <row r="600" spans="12:15" x14ac:dyDescent="0.15">
      <c r="L600" s="7">
        <f t="shared" si="36"/>
        <v>0</v>
      </c>
      <c r="M600" s="7">
        <f t="shared" si="37"/>
        <v>1</v>
      </c>
      <c r="N600" s="7">
        <f t="shared" si="38"/>
        <v>0.5</v>
      </c>
      <c r="O600" s="7">
        <f t="shared" si="39"/>
        <v>-0.69314718055994529</v>
      </c>
    </row>
    <row r="601" spans="12:15" x14ac:dyDescent="0.15">
      <c r="L601" s="7">
        <f t="shared" si="36"/>
        <v>0</v>
      </c>
      <c r="M601" s="7">
        <f t="shared" si="37"/>
        <v>1</v>
      </c>
      <c r="N601" s="7">
        <f t="shared" si="38"/>
        <v>0.5</v>
      </c>
      <c r="O601" s="7">
        <f t="shared" si="39"/>
        <v>-0.69314718055994529</v>
      </c>
    </row>
    <row r="602" spans="12:15" x14ac:dyDescent="0.15">
      <c r="L602" s="7">
        <f t="shared" si="36"/>
        <v>0</v>
      </c>
      <c r="M602" s="7">
        <f t="shared" si="37"/>
        <v>1</v>
      </c>
      <c r="N602" s="7">
        <f t="shared" si="38"/>
        <v>0.5</v>
      </c>
      <c r="O602" s="7">
        <f t="shared" si="39"/>
        <v>-0.69314718055994529</v>
      </c>
    </row>
    <row r="603" spans="12:15" x14ac:dyDescent="0.15">
      <c r="L603" s="7">
        <f t="shared" si="36"/>
        <v>0</v>
      </c>
      <c r="M603" s="7">
        <f t="shared" si="37"/>
        <v>1</v>
      </c>
      <c r="N603" s="7">
        <f t="shared" si="38"/>
        <v>0.5</v>
      </c>
      <c r="O603" s="7">
        <f t="shared" si="39"/>
        <v>-0.69314718055994529</v>
      </c>
    </row>
    <row r="604" spans="12:15" x14ac:dyDescent="0.15">
      <c r="L604" s="7">
        <f t="shared" si="36"/>
        <v>0</v>
      </c>
      <c r="M604" s="7">
        <f t="shared" si="37"/>
        <v>1</v>
      </c>
      <c r="N604" s="7">
        <f t="shared" si="38"/>
        <v>0.5</v>
      </c>
      <c r="O604" s="7">
        <f t="shared" si="39"/>
        <v>-0.69314718055994529</v>
      </c>
    </row>
    <row r="605" spans="12:15" x14ac:dyDescent="0.15">
      <c r="L605" s="7">
        <f t="shared" si="36"/>
        <v>0</v>
      </c>
      <c r="M605" s="7">
        <f t="shared" si="37"/>
        <v>1</v>
      </c>
      <c r="N605" s="7">
        <f t="shared" si="38"/>
        <v>0.5</v>
      </c>
      <c r="O605" s="7">
        <f t="shared" si="39"/>
        <v>-0.69314718055994529</v>
      </c>
    </row>
    <row r="606" spans="12:15" x14ac:dyDescent="0.15">
      <c r="L606" s="7">
        <f t="shared" si="36"/>
        <v>0</v>
      </c>
      <c r="M606" s="7">
        <f t="shared" si="37"/>
        <v>1</v>
      </c>
      <c r="N606" s="7">
        <f t="shared" si="38"/>
        <v>0.5</v>
      </c>
      <c r="O606" s="7">
        <f t="shared" si="39"/>
        <v>-0.69314718055994529</v>
      </c>
    </row>
    <row r="607" spans="12:15" x14ac:dyDescent="0.15">
      <c r="L607" s="7">
        <f t="shared" si="36"/>
        <v>0</v>
      </c>
      <c r="M607" s="7">
        <f t="shared" si="37"/>
        <v>1</v>
      </c>
      <c r="N607" s="7">
        <f t="shared" si="38"/>
        <v>0.5</v>
      </c>
      <c r="O607" s="7">
        <f t="shared" si="39"/>
        <v>-0.69314718055994529</v>
      </c>
    </row>
    <row r="608" spans="12:15" x14ac:dyDescent="0.15">
      <c r="L608" s="7">
        <f t="shared" si="36"/>
        <v>0</v>
      </c>
      <c r="M608" s="7">
        <f t="shared" si="37"/>
        <v>1</v>
      </c>
      <c r="N608" s="7">
        <f t="shared" si="38"/>
        <v>0.5</v>
      </c>
      <c r="O608" s="7">
        <f t="shared" si="39"/>
        <v>-0.69314718055994529</v>
      </c>
    </row>
    <row r="609" spans="12:15" x14ac:dyDescent="0.15">
      <c r="L609" s="7">
        <f t="shared" si="36"/>
        <v>0</v>
      </c>
      <c r="M609" s="7">
        <f t="shared" si="37"/>
        <v>1</v>
      </c>
      <c r="N609" s="7">
        <f t="shared" si="38"/>
        <v>0.5</v>
      </c>
      <c r="O609" s="7">
        <f t="shared" si="39"/>
        <v>-0.69314718055994529</v>
      </c>
    </row>
    <row r="610" spans="12:15" x14ac:dyDescent="0.15">
      <c r="L610" s="7">
        <f t="shared" si="36"/>
        <v>0</v>
      </c>
      <c r="M610" s="7">
        <f t="shared" si="37"/>
        <v>1</v>
      </c>
      <c r="N610" s="7">
        <f t="shared" si="38"/>
        <v>0.5</v>
      </c>
      <c r="O610" s="7">
        <f t="shared" si="39"/>
        <v>-0.69314718055994529</v>
      </c>
    </row>
    <row r="611" spans="12:15" x14ac:dyDescent="0.15">
      <c r="L611" s="7">
        <f t="shared" si="36"/>
        <v>0</v>
      </c>
      <c r="M611" s="7">
        <f t="shared" si="37"/>
        <v>1</v>
      </c>
      <c r="N611" s="7">
        <f t="shared" si="38"/>
        <v>0.5</v>
      </c>
      <c r="O611" s="7">
        <f t="shared" si="39"/>
        <v>-0.69314718055994529</v>
      </c>
    </row>
    <row r="612" spans="12:15" x14ac:dyDescent="0.15">
      <c r="L612" s="7">
        <f t="shared" si="36"/>
        <v>0</v>
      </c>
      <c r="M612" s="7">
        <f t="shared" si="37"/>
        <v>1</v>
      </c>
      <c r="N612" s="7">
        <f t="shared" si="38"/>
        <v>0.5</v>
      </c>
      <c r="O612" s="7">
        <f t="shared" si="39"/>
        <v>-0.69314718055994529</v>
      </c>
    </row>
    <row r="613" spans="12:15" x14ac:dyDescent="0.15">
      <c r="L613" s="7">
        <f t="shared" si="36"/>
        <v>0</v>
      </c>
      <c r="M613" s="7">
        <f t="shared" si="37"/>
        <v>1</v>
      </c>
      <c r="N613" s="7">
        <f t="shared" si="38"/>
        <v>0.5</v>
      </c>
      <c r="O613" s="7">
        <f t="shared" si="39"/>
        <v>-0.69314718055994529</v>
      </c>
    </row>
    <row r="614" spans="12:15" x14ac:dyDescent="0.15">
      <c r="L614" s="7">
        <f t="shared" si="36"/>
        <v>0</v>
      </c>
      <c r="M614" s="7">
        <f t="shared" si="37"/>
        <v>1</v>
      </c>
      <c r="N614" s="7">
        <f t="shared" si="38"/>
        <v>0.5</v>
      </c>
      <c r="O614" s="7">
        <f t="shared" si="39"/>
        <v>-0.69314718055994529</v>
      </c>
    </row>
    <row r="615" spans="12:15" x14ac:dyDescent="0.15">
      <c r="L615" s="7">
        <f t="shared" si="36"/>
        <v>0</v>
      </c>
      <c r="M615" s="7">
        <f t="shared" si="37"/>
        <v>1</v>
      </c>
      <c r="N615" s="7">
        <f t="shared" si="38"/>
        <v>0.5</v>
      </c>
      <c r="O615" s="7">
        <f t="shared" si="39"/>
        <v>-0.69314718055994529</v>
      </c>
    </row>
    <row r="616" spans="12:15" x14ac:dyDescent="0.15">
      <c r="L616" s="7">
        <f t="shared" si="36"/>
        <v>0</v>
      </c>
      <c r="M616" s="7">
        <f t="shared" si="37"/>
        <v>1</v>
      </c>
      <c r="N616" s="7">
        <f t="shared" si="38"/>
        <v>0.5</v>
      </c>
      <c r="O616" s="7">
        <f t="shared" si="39"/>
        <v>-0.69314718055994529</v>
      </c>
    </row>
    <row r="617" spans="12:15" x14ac:dyDescent="0.15">
      <c r="L617" s="7">
        <f t="shared" si="36"/>
        <v>0</v>
      </c>
      <c r="M617" s="7">
        <f t="shared" si="37"/>
        <v>1</v>
      </c>
      <c r="N617" s="7">
        <f t="shared" si="38"/>
        <v>0.5</v>
      </c>
      <c r="O617" s="7">
        <f t="shared" si="39"/>
        <v>-0.69314718055994529</v>
      </c>
    </row>
    <row r="618" spans="12:15" x14ac:dyDescent="0.15">
      <c r="L618" s="7">
        <f t="shared" si="36"/>
        <v>0</v>
      </c>
      <c r="M618" s="7">
        <f t="shared" si="37"/>
        <v>1</v>
      </c>
      <c r="N618" s="7">
        <f t="shared" si="38"/>
        <v>0.5</v>
      </c>
      <c r="O618" s="7">
        <f t="shared" si="39"/>
        <v>-0.69314718055994529</v>
      </c>
    </row>
    <row r="619" spans="12:15" x14ac:dyDescent="0.15">
      <c r="L619" s="7">
        <f t="shared" si="36"/>
        <v>0</v>
      </c>
      <c r="M619" s="7">
        <f t="shared" si="37"/>
        <v>1</v>
      </c>
      <c r="N619" s="7">
        <f t="shared" si="38"/>
        <v>0.5</v>
      </c>
      <c r="O619" s="7">
        <f t="shared" si="39"/>
        <v>-0.69314718055994529</v>
      </c>
    </row>
    <row r="620" spans="12:15" x14ac:dyDescent="0.15">
      <c r="L620" s="7">
        <f t="shared" si="36"/>
        <v>0</v>
      </c>
      <c r="M620" s="7">
        <f t="shared" si="37"/>
        <v>1</v>
      </c>
      <c r="N620" s="7">
        <f t="shared" si="38"/>
        <v>0.5</v>
      </c>
      <c r="O620" s="7">
        <f t="shared" si="39"/>
        <v>-0.69314718055994529</v>
      </c>
    </row>
    <row r="621" spans="12:15" x14ac:dyDescent="0.15">
      <c r="L621" s="7">
        <f t="shared" si="36"/>
        <v>0</v>
      </c>
      <c r="M621" s="7">
        <f t="shared" si="37"/>
        <v>1</v>
      </c>
      <c r="N621" s="7">
        <f t="shared" si="38"/>
        <v>0.5</v>
      </c>
      <c r="O621" s="7">
        <f t="shared" si="39"/>
        <v>-0.69314718055994529</v>
      </c>
    </row>
    <row r="622" spans="12:15" x14ac:dyDescent="0.15">
      <c r="L622" s="7">
        <f t="shared" si="36"/>
        <v>0</v>
      </c>
      <c r="M622" s="7">
        <f t="shared" si="37"/>
        <v>1</v>
      </c>
      <c r="N622" s="7">
        <f t="shared" si="38"/>
        <v>0.5</v>
      </c>
      <c r="O622" s="7">
        <f t="shared" si="39"/>
        <v>-0.69314718055994529</v>
      </c>
    </row>
    <row r="623" spans="12:15" x14ac:dyDescent="0.15">
      <c r="L623" s="7">
        <f t="shared" si="36"/>
        <v>0</v>
      </c>
      <c r="M623" s="7">
        <f t="shared" si="37"/>
        <v>1</v>
      </c>
      <c r="N623" s="7">
        <f t="shared" si="38"/>
        <v>0.5</v>
      </c>
      <c r="O623" s="7">
        <f t="shared" si="39"/>
        <v>-0.69314718055994529</v>
      </c>
    </row>
    <row r="624" spans="12:15" x14ac:dyDescent="0.15">
      <c r="L624" s="7">
        <f t="shared" si="36"/>
        <v>0</v>
      </c>
      <c r="M624" s="7">
        <f t="shared" si="37"/>
        <v>1</v>
      </c>
      <c r="N624" s="7">
        <f t="shared" si="38"/>
        <v>0.5</v>
      </c>
      <c r="O624" s="7">
        <f t="shared" si="39"/>
        <v>-0.69314718055994529</v>
      </c>
    </row>
    <row r="625" spans="12:15" x14ac:dyDescent="0.15">
      <c r="L625" s="7">
        <f t="shared" si="36"/>
        <v>0</v>
      </c>
      <c r="M625" s="7">
        <f t="shared" si="37"/>
        <v>1</v>
      </c>
      <c r="N625" s="7">
        <f t="shared" si="38"/>
        <v>0.5</v>
      </c>
      <c r="O625" s="7">
        <f t="shared" si="39"/>
        <v>-0.69314718055994529</v>
      </c>
    </row>
    <row r="626" spans="12:15" x14ac:dyDescent="0.15">
      <c r="L626" s="7">
        <f t="shared" si="36"/>
        <v>0</v>
      </c>
      <c r="M626" s="7">
        <f t="shared" si="37"/>
        <v>1</v>
      </c>
      <c r="N626" s="7">
        <f t="shared" si="38"/>
        <v>0.5</v>
      </c>
      <c r="O626" s="7">
        <f t="shared" si="39"/>
        <v>-0.69314718055994529</v>
      </c>
    </row>
    <row r="627" spans="12:15" x14ac:dyDescent="0.15">
      <c r="L627" s="7">
        <f t="shared" si="36"/>
        <v>0</v>
      </c>
      <c r="M627" s="7">
        <f t="shared" si="37"/>
        <v>1</v>
      </c>
      <c r="N627" s="7">
        <f t="shared" si="38"/>
        <v>0.5</v>
      </c>
      <c r="O627" s="7">
        <f t="shared" si="39"/>
        <v>-0.69314718055994529</v>
      </c>
    </row>
    <row r="628" spans="12:15" x14ac:dyDescent="0.15">
      <c r="L628" s="7">
        <f t="shared" si="36"/>
        <v>0</v>
      </c>
      <c r="M628" s="7">
        <f t="shared" si="37"/>
        <v>1</v>
      </c>
      <c r="N628" s="7">
        <f t="shared" si="38"/>
        <v>0.5</v>
      </c>
      <c r="O628" s="7">
        <f t="shared" si="39"/>
        <v>-0.69314718055994529</v>
      </c>
    </row>
    <row r="629" spans="12:15" x14ac:dyDescent="0.15">
      <c r="L629" s="7">
        <f t="shared" si="36"/>
        <v>0</v>
      </c>
      <c r="M629" s="7">
        <f t="shared" si="37"/>
        <v>1</v>
      </c>
      <c r="N629" s="7">
        <f t="shared" si="38"/>
        <v>0.5</v>
      </c>
      <c r="O629" s="7">
        <f t="shared" si="39"/>
        <v>-0.69314718055994529</v>
      </c>
    </row>
    <row r="630" spans="12:15" x14ac:dyDescent="0.15">
      <c r="L630" s="7">
        <f t="shared" si="36"/>
        <v>0</v>
      </c>
      <c r="M630" s="7">
        <f t="shared" si="37"/>
        <v>1</v>
      </c>
      <c r="N630" s="7">
        <f t="shared" si="38"/>
        <v>0.5</v>
      </c>
      <c r="O630" s="7">
        <f t="shared" si="39"/>
        <v>-0.69314718055994529</v>
      </c>
    </row>
    <row r="631" spans="12:15" x14ac:dyDescent="0.15">
      <c r="L631" s="7">
        <f t="shared" si="36"/>
        <v>0</v>
      </c>
      <c r="M631" s="7">
        <f t="shared" si="37"/>
        <v>1</v>
      </c>
      <c r="N631" s="7">
        <f t="shared" si="38"/>
        <v>0.5</v>
      </c>
      <c r="O631" s="7">
        <f t="shared" si="39"/>
        <v>-0.69314718055994529</v>
      </c>
    </row>
    <row r="632" spans="12:15" x14ac:dyDescent="0.15">
      <c r="L632" s="7">
        <f t="shared" si="36"/>
        <v>0</v>
      </c>
      <c r="M632" s="7">
        <f t="shared" si="37"/>
        <v>1</v>
      </c>
      <c r="N632" s="7">
        <f t="shared" si="38"/>
        <v>0.5</v>
      </c>
      <c r="O632" s="7">
        <f t="shared" si="39"/>
        <v>-0.69314718055994529</v>
      </c>
    </row>
    <row r="633" spans="12:15" x14ac:dyDescent="0.15">
      <c r="L633" s="7">
        <f t="shared" si="36"/>
        <v>0</v>
      </c>
      <c r="M633" s="7">
        <f t="shared" si="37"/>
        <v>1</v>
      </c>
      <c r="N633" s="7">
        <f t="shared" si="38"/>
        <v>0.5</v>
      </c>
      <c r="O633" s="7">
        <f t="shared" si="39"/>
        <v>-0.69314718055994529</v>
      </c>
    </row>
    <row r="634" spans="12:15" x14ac:dyDescent="0.15">
      <c r="L634" s="7">
        <f t="shared" si="36"/>
        <v>0</v>
      </c>
      <c r="M634" s="7">
        <f t="shared" si="37"/>
        <v>1</v>
      </c>
      <c r="N634" s="7">
        <f t="shared" si="38"/>
        <v>0.5</v>
      </c>
      <c r="O634" s="7">
        <f t="shared" si="39"/>
        <v>-0.69314718055994529</v>
      </c>
    </row>
    <row r="635" spans="12:15" x14ac:dyDescent="0.15">
      <c r="L635" s="7">
        <f t="shared" si="36"/>
        <v>0</v>
      </c>
      <c r="M635" s="7">
        <f t="shared" si="37"/>
        <v>1</v>
      </c>
      <c r="N635" s="7">
        <f t="shared" si="38"/>
        <v>0.5</v>
      </c>
      <c r="O635" s="7">
        <f t="shared" si="39"/>
        <v>-0.69314718055994529</v>
      </c>
    </row>
    <row r="636" spans="12:15" x14ac:dyDescent="0.15">
      <c r="L636" s="7">
        <f t="shared" si="36"/>
        <v>0</v>
      </c>
      <c r="M636" s="7">
        <f t="shared" si="37"/>
        <v>1</v>
      </c>
      <c r="N636" s="7">
        <f t="shared" si="38"/>
        <v>0.5</v>
      </c>
      <c r="O636" s="7">
        <f t="shared" si="39"/>
        <v>-0.69314718055994529</v>
      </c>
    </row>
    <row r="637" spans="12:15" x14ac:dyDescent="0.15">
      <c r="L637" s="7">
        <f t="shared" si="36"/>
        <v>0</v>
      </c>
      <c r="M637" s="7">
        <f t="shared" si="37"/>
        <v>1</v>
      </c>
      <c r="N637" s="7">
        <f t="shared" si="38"/>
        <v>0.5</v>
      </c>
      <c r="O637" s="7">
        <f t="shared" si="39"/>
        <v>-0.69314718055994529</v>
      </c>
    </row>
    <row r="638" spans="12:15" x14ac:dyDescent="0.15">
      <c r="L638" s="7">
        <f t="shared" si="36"/>
        <v>0</v>
      </c>
      <c r="M638" s="7">
        <f t="shared" si="37"/>
        <v>1</v>
      </c>
      <c r="N638" s="7">
        <f t="shared" si="38"/>
        <v>0.5</v>
      </c>
      <c r="O638" s="7">
        <f t="shared" si="39"/>
        <v>-0.69314718055994529</v>
      </c>
    </row>
    <row r="639" spans="12:15" x14ac:dyDescent="0.15">
      <c r="L639" s="7">
        <f t="shared" si="36"/>
        <v>0</v>
      </c>
      <c r="M639" s="7">
        <f t="shared" si="37"/>
        <v>1</v>
      </c>
      <c r="N639" s="7">
        <f t="shared" si="38"/>
        <v>0.5</v>
      </c>
      <c r="O639" s="7">
        <f t="shared" si="39"/>
        <v>-0.69314718055994529</v>
      </c>
    </row>
    <row r="640" spans="12:15" x14ac:dyDescent="0.15">
      <c r="L640" s="7">
        <f t="shared" si="36"/>
        <v>0</v>
      </c>
      <c r="M640" s="7">
        <f t="shared" si="37"/>
        <v>1</v>
      </c>
      <c r="N640" s="7">
        <f t="shared" si="38"/>
        <v>0.5</v>
      </c>
      <c r="O640" s="7">
        <f t="shared" si="39"/>
        <v>-0.69314718055994529</v>
      </c>
    </row>
    <row r="641" spans="12:15" x14ac:dyDescent="0.15">
      <c r="L641" s="7">
        <f t="shared" si="36"/>
        <v>0</v>
      </c>
      <c r="M641" s="7">
        <f t="shared" si="37"/>
        <v>1</v>
      </c>
      <c r="N641" s="7">
        <f t="shared" si="38"/>
        <v>0.5</v>
      </c>
      <c r="O641" s="7">
        <f t="shared" si="39"/>
        <v>-0.69314718055994529</v>
      </c>
    </row>
    <row r="642" spans="12:15" x14ac:dyDescent="0.15">
      <c r="L642" s="7">
        <f t="shared" si="36"/>
        <v>0</v>
      </c>
      <c r="M642" s="7">
        <f t="shared" si="37"/>
        <v>1</v>
      </c>
      <c r="N642" s="7">
        <f t="shared" si="38"/>
        <v>0.5</v>
      </c>
      <c r="O642" s="7">
        <f t="shared" si="39"/>
        <v>-0.69314718055994529</v>
      </c>
    </row>
    <row r="643" spans="12:15" x14ac:dyDescent="0.15">
      <c r="L643" s="7">
        <f t="shared" ref="L643:L706" si="40">$Q$1 + $Q$2*B643+$Q$3*C643+ $Q$4*D643+$Q$5*E643+$Q$6*F643+$Q$7*G643+H643*$Q$8+I643*$Q$9+J643*$Q$10+K643*$Q$11</f>
        <v>0</v>
      </c>
      <c r="M643" s="7">
        <f t="shared" ref="M643:M706" si="41">EXP(L643)</f>
        <v>1</v>
      </c>
      <c r="N643" s="7">
        <f t="shared" ref="N643:N706" si="42">1/(1+M643)</f>
        <v>0.5</v>
      </c>
      <c r="O643" s="7">
        <f t="shared" ref="O643:O706" si="43">A643*LN(N643)+(1-A643)*LN(1-N643)</f>
        <v>-0.69314718055994529</v>
      </c>
    </row>
    <row r="644" spans="12:15" x14ac:dyDescent="0.15">
      <c r="L644" s="7">
        <f t="shared" si="40"/>
        <v>0</v>
      </c>
      <c r="M644" s="7">
        <f t="shared" si="41"/>
        <v>1</v>
      </c>
      <c r="N644" s="7">
        <f t="shared" si="42"/>
        <v>0.5</v>
      </c>
      <c r="O644" s="7">
        <f t="shared" si="43"/>
        <v>-0.69314718055994529</v>
      </c>
    </row>
    <row r="645" spans="12:15" x14ac:dyDescent="0.15">
      <c r="L645" s="7">
        <f t="shared" si="40"/>
        <v>0</v>
      </c>
      <c r="M645" s="7">
        <f t="shared" si="41"/>
        <v>1</v>
      </c>
      <c r="N645" s="7">
        <f t="shared" si="42"/>
        <v>0.5</v>
      </c>
      <c r="O645" s="7">
        <f t="shared" si="43"/>
        <v>-0.69314718055994529</v>
      </c>
    </row>
    <row r="646" spans="12:15" x14ac:dyDescent="0.15">
      <c r="L646" s="7">
        <f t="shared" si="40"/>
        <v>0</v>
      </c>
      <c r="M646" s="7">
        <f t="shared" si="41"/>
        <v>1</v>
      </c>
      <c r="N646" s="7">
        <f t="shared" si="42"/>
        <v>0.5</v>
      </c>
      <c r="O646" s="7">
        <f t="shared" si="43"/>
        <v>-0.69314718055994529</v>
      </c>
    </row>
    <row r="647" spans="12:15" x14ac:dyDescent="0.15">
      <c r="L647" s="7">
        <f t="shared" si="40"/>
        <v>0</v>
      </c>
      <c r="M647" s="7">
        <f t="shared" si="41"/>
        <v>1</v>
      </c>
      <c r="N647" s="7">
        <f t="shared" si="42"/>
        <v>0.5</v>
      </c>
      <c r="O647" s="7">
        <f t="shared" si="43"/>
        <v>-0.69314718055994529</v>
      </c>
    </row>
    <row r="648" spans="12:15" x14ac:dyDescent="0.15">
      <c r="L648" s="7">
        <f t="shared" si="40"/>
        <v>0</v>
      </c>
      <c r="M648" s="7">
        <f t="shared" si="41"/>
        <v>1</v>
      </c>
      <c r="N648" s="7">
        <f t="shared" si="42"/>
        <v>0.5</v>
      </c>
      <c r="O648" s="7">
        <f t="shared" si="43"/>
        <v>-0.69314718055994529</v>
      </c>
    </row>
    <row r="649" spans="12:15" x14ac:dyDescent="0.15">
      <c r="L649" s="7">
        <f t="shared" si="40"/>
        <v>0</v>
      </c>
      <c r="M649" s="7">
        <f t="shared" si="41"/>
        <v>1</v>
      </c>
      <c r="N649" s="7">
        <f t="shared" si="42"/>
        <v>0.5</v>
      </c>
      <c r="O649" s="7">
        <f t="shared" si="43"/>
        <v>-0.69314718055994529</v>
      </c>
    </row>
    <row r="650" spans="12:15" x14ac:dyDescent="0.15">
      <c r="L650" s="7">
        <f t="shared" si="40"/>
        <v>0</v>
      </c>
      <c r="M650" s="7">
        <f t="shared" si="41"/>
        <v>1</v>
      </c>
      <c r="N650" s="7">
        <f t="shared" si="42"/>
        <v>0.5</v>
      </c>
      <c r="O650" s="7">
        <f t="shared" si="43"/>
        <v>-0.69314718055994529</v>
      </c>
    </row>
    <row r="651" spans="12:15" x14ac:dyDescent="0.15">
      <c r="L651" s="7">
        <f t="shared" si="40"/>
        <v>0</v>
      </c>
      <c r="M651" s="7">
        <f t="shared" si="41"/>
        <v>1</v>
      </c>
      <c r="N651" s="7">
        <f t="shared" si="42"/>
        <v>0.5</v>
      </c>
      <c r="O651" s="7">
        <f t="shared" si="43"/>
        <v>-0.69314718055994529</v>
      </c>
    </row>
    <row r="652" spans="12:15" x14ac:dyDescent="0.15">
      <c r="L652" s="7">
        <f t="shared" si="40"/>
        <v>0</v>
      </c>
      <c r="M652" s="7">
        <f t="shared" si="41"/>
        <v>1</v>
      </c>
      <c r="N652" s="7">
        <f t="shared" si="42"/>
        <v>0.5</v>
      </c>
      <c r="O652" s="7">
        <f t="shared" si="43"/>
        <v>-0.69314718055994529</v>
      </c>
    </row>
    <row r="653" spans="12:15" x14ac:dyDescent="0.15">
      <c r="L653" s="7">
        <f t="shared" si="40"/>
        <v>0</v>
      </c>
      <c r="M653" s="7">
        <f t="shared" si="41"/>
        <v>1</v>
      </c>
      <c r="N653" s="7">
        <f t="shared" si="42"/>
        <v>0.5</v>
      </c>
      <c r="O653" s="7">
        <f t="shared" si="43"/>
        <v>-0.69314718055994529</v>
      </c>
    </row>
    <row r="654" spans="12:15" x14ac:dyDescent="0.15">
      <c r="L654" s="7">
        <f t="shared" si="40"/>
        <v>0</v>
      </c>
      <c r="M654" s="7">
        <f t="shared" si="41"/>
        <v>1</v>
      </c>
      <c r="N654" s="7">
        <f t="shared" si="42"/>
        <v>0.5</v>
      </c>
      <c r="O654" s="7">
        <f t="shared" si="43"/>
        <v>-0.69314718055994529</v>
      </c>
    </row>
    <row r="655" spans="12:15" x14ac:dyDescent="0.15">
      <c r="L655" s="7">
        <f t="shared" si="40"/>
        <v>0</v>
      </c>
      <c r="M655" s="7">
        <f t="shared" si="41"/>
        <v>1</v>
      </c>
      <c r="N655" s="7">
        <f t="shared" si="42"/>
        <v>0.5</v>
      </c>
      <c r="O655" s="7">
        <f t="shared" si="43"/>
        <v>-0.69314718055994529</v>
      </c>
    </row>
    <row r="656" spans="12:15" x14ac:dyDescent="0.15">
      <c r="L656" s="7">
        <f t="shared" si="40"/>
        <v>0</v>
      </c>
      <c r="M656" s="7">
        <f t="shared" si="41"/>
        <v>1</v>
      </c>
      <c r="N656" s="7">
        <f t="shared" si="42"/>
        <v>0.5</v>
      </c>
      <c r="O656" s="7">
        <f t="shared" si="43"/>
        <v>-0.69314718055994529</v>
      </c>
    </row>
    <row r="657" spans="12:15" x14ac:dyDescent="0.15">
      <c r="L657" s="7">
        <f t="shared" si="40"/>
        <v>0</v>
      </c>
      <c r="M657" s="7">
        <f t="shared" si="41"/>
        <v>1</v>
      </c>
      <c r="N657" s="7">
        <f t="shared" si="42"/>
        <v>0.5</v>
      </c>
      <c r="O657" s="7">
        <f t="shared" si="43"/>
        <v>-0.69314718055994529</v>
      </c>
    </row>
    <row r="658" spans="12:15" x14ac:dyDescent="0.15">
      <c r="L658" s="7">
        <f t="shared" si="40"/>
        <v>0</v>
      </c>
      <c r="M658" s="7">
        <f t="shared" si="41"/>
        <v>1</v>
      </c>
      <c r="N658" s="7">
        <f t="shared" si="42"/>
        <v>0.5</v>
      </c>
      <c r="O658" s="7">
        <f t="shared" si="43"/>
        <v>-0.69314718055994529</v>
      </c>
    </row>
    <row r="659" spans="12:15" x14ac:dyDescent="0.15">
      <c r="L659" s="7">
        <f t="shared" si="40"/>
        <v>0</v>
      </c>
      <c r="M659" s="7">
        <f t="shared" si="41"/>
        <v>1</v>
      </c>
      <c r="N659" s="7">
        <f t="shared" si="42"/>
        <v>0.5</v>
      </c>
      <c r="O659" s="7">
        <f t="shared" si="43"/>
        <v>-0.69314718055994529</v>
      </c>
    </row>
    <row r="660" spans="12:15" x14ac:dyDescent="0.15">
      <c r="L660" s="7">
        <f t="shared" si="40"/>
        <v>0</v>
      </c>
      <c r="M660" s="7">
        <f t="shared" si="41"/>
        <v>1</v>
      </c>
      <c r="N660" s="7">
        <f t="shared" si="42"/>
        <v>0.5</v>
      </c>
      <c r="O660" s="7">
        <f t="shared" si="43"/>
        <v>-0.69314718055994529</v>
      </c>
    </row>
    <row r="661" spans="12:15" x14ac:dyDescent="0.15">
      <c r="L661" s="7">
        <f t="shared" si="40"/>
        <v>0</v>
      </c>
      <c r="M661" s="7">
        <f t="shared" si="41"/>
        <v>1</v>
      </c>
      <c r="N661" s="7">
        <f t="shared" si="42"/>
        <v>0.5</v>
      </c>
      <c r="O661" s="7">
        <f t="shared" si="43"/>
        <v>-0.69314718055994529</v>
      </c>
    </row>
    <row r="662" spans="12:15" x14ac:dyDescent="0.15">
      <c r="L662" s="7">
        <f t="shared" si="40"/>
        <v>0</v>
      </c>
      <c r="M662" s="7">
        <f t="shared" si="41"/>
        <v>1</v>
      </c>
      <c r="N662" s="7">
        <f t="shared" si="42"/>
        <v>0.5</v>
      </c>
      <c r="O662" s="7">
        <f t="shared" si="43"/>
        <v>-0.69314718055994529</v>
      </c>
    </row>
    <row r="663" spans="12:15" x14ac:dyDescent="0.15">
      <c r="L663" s="7">
        <f t="shared" si="40"/>
        <v>0</v>
      </c>
      <c r="M663" s="7">
        <f t="shared" si="41"/>
        <v>1</v>
      </c>
      <c r="N663" s="7">
        <f t="shared" si="42"/>
        <v>0.5</v>
      </c>
      <c r="O663" s="7">
        <f t="shared" si="43"/>
        <v>-0.69314718055994529</v>
      </c>
    </row>
    <row r="664" spans="12:15" x14ac:dyDescent="0.15">
      <c r="L664" s="7">
        <f t="shared" si="40"/>
        <v>0</v>
      </c>
      <c r="M664" s="7">
        <f t="shared" si="41"/>
        <v>1</v>
      </c>
      <c r="N664" s="7">
        <f t="shared" si="42"/>
        <v>0.5</v>
      </c>
      <c r="O664" s="7">
        <f t="shared" si="43"/>
        <v>-0.69314718055994529</v>
      </c>
    </row>
    <row r="665" spans="12:15" x14ac:dyDescent="0.15">
      <c r="L665" s="7">
        <f t="shared" si="40"/>
        <v>0</v>
      </c>
      <c r="M665" s="7">
        <f t="shared" si="41"/>
        <v>1</v>
      </c>
      <c r="N665" s="7">
        <f t="shared" si="42"/>
        <v>0.5</v>
      </c>
      <c r="O665" s="7">
        <f t="shared" si="43"/>
        <v>-0.69314718055994529</v>
      </c>
    </row>
    <row r="666" spans="12:15" x14ac:dyDescent="0.15">
      <c r="L666" s="7">
        <f t="shared" si="40"/>
        <v>0</v>
      </c>
      <c r="M666" s="7">
        <f t="shared" si="41"/>
        <v>1</v>
      </c>
      <c r="N666" s="7">
        <f t="shared" si="42"/>
        <v>0.5</v>
      </c>
      <c r="O666" s="7">
        <f t="shared" si="43"/>
        <v>-0.69314718055994529</v>
      </c>
    </row>
    <row r="667" spans="12:15" x14ac:dyDescent="0.15">
      <c r="L667" s="7">
        <f t="shared" si="40"/>
        <v>0</v>
      </c>
      <c r="M667" s="7">
        <f t="shared" si="41"/>
        <v>1</v>
      </c>
      <c r="N667" s="7">
        <f t="shared" si="42"/>
        <v>0.5</v>
      </c>
      <c r="O667" s="7">
        <f t="shared" si="43"/>
        <v>-0.69314718055994529</v>
      </c>
    </row>
    <row r="668" spans="12:15" x14ac:dyDescent="0.15">
      <c r="L668" s="7">
        <f t="shared" si="40"/>
        <v>0</v>
      </c>
      <c r="M668" s="7">
        <f t="shared" si="41"/>
        <v>1</v>
      </c>
      <c r="N668" s="7">
        <f t="shared" si="42"/>
        <v>0.5</v>
      </c>
      <c r="O668" s="7">
        <f t="shared" si="43"/>
        <v>-0.69314718055994529</v>
      </c>
    </row>
    <row r="669" spans="12:15" x14ac:dyDescent="0.15">
      <c r="L669" s="7">
        <f t="shared" si="40"/>
        <v>0</v>
      </c>
      <c r="M669" s="7">
        <f t="shared" si="41"/>
        <v>1</v>
      </c>
      <c r="N669" s="7">
        <f t="shared" si="42"/>
        <v>0.5</v>
      </c>
      <c r="O669" s="7">
        <f t="shared" si="43"/>
        <v>-0.69314718055994529</v>
      </c>
    </row>
    <row r="670" spans="12:15" x14ac:dyDescent="0.15">
      <c r="L670" s="7">
        <f t="shared" si="40"/>
        <v>0</v>
      </c>
      <c r="M670" s="7">
        <f t="shared" si="41"/>
        <v>1</v>
      </c>
      <c r="N670" s="7">
        <f t="shared" si="42"/>
        <v>0.5</v>
      </c>
      <c r="O670" s="7">
        <f t="shared" si="43"/>
        <v>-0.69314718055994529</v>
      </c>
    </row>
    <row r="671" spans="12:15" x14ac:dyDescent="0.15">
      <c r="L671" s="7">
        <f t="shared" si="40"/>
        <v>0</v>
      </c>
      <c r="M671" s="7">
        <f t="shared" si="41"/>
        <v>1</v>
      </c>
      <c r="N671" s="7">
        <f t="shared" si="42"/>
        <v>0.5</v>
      </c>
      <c r="O671" s="7">
        <f t="shared" si="43"/>
        <v>-0.69314718055994529</v>
      </c>
    </row>
    <row r="672" spans="12:15" x14ac:dyDescent="0.15">
      <c r="L672" s="7">
        <f t="shared" si="40"/>
        <v>0</v>
      </c>
      <c r="M672" s="7">
        <f t="shared" si="41"/>
        <v>1</v>
      </c>
      <c r="N672" s="7">
        <f t="shared" si="42"/>
        <v>0.5</v>
      </c>
      <c r="O672" s="7">
        <f t="shared" si="43"/>
        <v>-0.69314718055994529</v>
      </c>
    </row>
    <row r="673" spans="12:15" x14ac:dyDescent="0.15">
      <c r="L673" s="7">
        <f t="shared" si="40"/>
        <v>0</v>
      </c>
      <c r="M673" s="7">
        <f t="shared" si="41"/>
        <v>1</v>
      </c>
      <c r="N673" s="7">
        <f t="shared" si="42"/>
        <v>0.5</v>
      </c>
      <c r="O673" s="7">
        <f t="shared" si="43"/>
        <v>-0.69314718055994529</v>
      </c>
    </row>
    <row r="674" spans="12:15" x14ac:dyDescent="0.15">
      <c r="L674" s="7">
        <f t="shared" si="40"/>
        <v>0</v>
      </c>
      <c r="M674" s="7">
        <f t="shared" si="41"/>
        <v>1</v>
      </c>
      <c r="N674" s="7">
        <f t="shared" si="42"/>
        <v>0.5</v>
      </c>
      <c r="O674" s="7">
        <f t="shared" si="43"/>
        <v>-0.69314718055994529</v>
      </c>
    </row>
    <row r="675" spans="12:15" x14ac:dyDescent="0.15">
      <c r="L675" s="7">
        <f t="shared" si="40"/>
        <v>0</v>
      </c>
      <c r="M675" s="7">
        <f t="shared" si="41"/>
        <v>1</v>
      </c>
      <c r="N675" s="7">
        <f t="shared" si="42"/>
        <v>0.5</v>
      </c>
      <c r="O675" s="7">
        <f t="shared" si="43"/>
        <v>-0.69314718055994529</v>
      </c>
    </row>
    <row r="676" spans="12:15" x14ac:dyDescent="0.15">
      <c r="L676" s="7">
        <f t="shared" si="40"/>
        <v>0</v>
      </c>
      <c r="M676" s="7">
        <f t="shared" si="41"/>
        <v>1</v>
      </c>
      <c r="N676" s="7">
        <f t="shared" si="42"/>
        <v>0.5</v>
      </c>
      <c r="O676" s="7">
        <f t="shared" si="43"/>
        <v>-0.69314718055994529</v>
      </c>
    </row>
    <row r="677" spans="12:15" x14ac:dyDescent="0.15">
      <c r="L677" s="7">
        <f t="shared" si="40"/>
        <v>0</v>
      </c>
      <c r="M677" s="7">
        <f t="shared" si="41"/>
        <v>1</v>
      </c>
      <c r="N677" s="7">
        <f t="shared" si="42"/>
        <v>0.5</v>
      </c>
      <c r="O677" s="7">
        <f t="shared" si="43"/>
        <v>-0.69314718055994529</v>
      </c>
    </row>
    <row r="678" spans="12:15" x14ac:dyDescent="0.15">
      <c r="L678" s="7">
        <f t="shared" si="40"/>
        <v>0</v>
      </c>
      <c r="M678" s="7">
        <f t="shared" si="41"/>
        <v>1</v>
      </c>
      <c r="N678" s="7">
        <f t="shared" si="42"/>
        <v>0.5</v>
      </c>
      <c r="O678" s="7">
        <f t="shared" si="43"/>
        <v>-0.69314718055994529</v>
      </c>
    </row>
    <row r="679" spans="12:15" x14ac:dyDescent="0.15">
      <c r="L679" s="7">
        <f t="shared" si="40"/>
        <v>0</v>
      </c>
      <c r="M679" s="7">
        <f t="shared" si="41"/>
        <v>1</v>
      </c>
      <c r="N679" s="7">
        <f t="shared" si="42"/>
        <v>0.5</v>
      </c>
      <c r="O679" s="7">
        <f t="shared" si="43"/>
        <v>-0.69314718055994529</v>
      </c>
    </row>
    <row r="680" spans="12:15" x14ac:dyDescent="0.15">
      <c r="L680" s="7">
        <f t="shared" si="40"/>
        <v>0</v>
      </c>
      <c r="M680" s="7">
        <f t="shared" si="41"/>
        <v>1</v>
      </c>
      <c r="N680" s="7">
        <f t="shared" si="42"/>
        <v>0.5</v>
      </c>
      <c r="O680" s="7">
        <f t="shared" si="43"/>
        <v>-0.69314718055994529</v>
      </c>
    </row>
    <row r="681" spans="12:15" x14ac:dyDescent="0.15">
      <c r="L681" s="7">
        <f t="shared" si="40"/>
        <v>0</v>
      </c>
      <c r="M681" s="7">
        <f t="shared" si="41"/>
        <v>1</v>
      </c>
      <c r="N681" s="7">
        <f t="shared" si="42"/>
        <v>0.5</v>
      </c>
      <c r="O681" s="7">
        <f t="shared" si="43"/>
        <v>-0.69314718055994529</v>
      </c>
    </row>
    <row r="682" spans="12:15" x14ac:dyDescent="0.15">
      <c r="L682" s="7">
        <f t="shared" si="40"/>
        <v>0</v>
      </c>
      <c r="M682" s="7">
        <f t="shared" si="41"/>
        <v>1</v>
      </c>
      <c r="N682" s="7">
        <f t="shared" si="42"/>
        <v>0.5</v>
      </c>
      <c r="O682" s="7">
        <f t="shared" si="43"/>
        <v>-0.69314718055994529</v>
      </c>
    </row>
    <row r="683" spans="12:15" x14ac:dyDescent="0.15">
      <c r="L683" s="7">
        <f t="shared" si="40"/>
        <v>0</v>
      </c>
      <c r="M683" s="7">
        <f t="shared" si="41"/>
        <v>1</v>
      </c>
      <c r="N683" s="7">
        <f t="shared" si="42"/>
        <v>0.5</v>
      </c>
      <c r="O683" s="7">
        <f t="shared" si="43"/>
        <v>-0.69314718055994529</v>
      </c>
    </row>
    <row r="684" spans="12:15" x14ac:dyDescent="0.15">
      <c r="L684" s="7">
        <f t="shared" si="40"/>
        <v>0</v>
      </c>
      <c r="M684" s="7">
        <f t="shared" si="41"/>
        <v>1</v>
      </c>
      <c r="N684" s="7">
        <f t="shared" si="42"/>
        <v>0.5</v>
      </c>
      <c r="O684" s="7">
        <f t="shared" si="43"/>
        <v>-0.69314718055994529</v>
      </c>
    </row>
    <row r="685" spans="12:15" x14ac:dyDescent="0.15">
      <c r="L685" s="7">
        <f t="shared" si="40"/>
        <v>0</v>
      </c>
      <c r="M685" s="7">
        <f t="shared" si="41"/>
        <v>1</v>
      </c>
      <c r="N685" s="7">
        <f t="shared" si="42"/>
        <v>0.5</v>
      </c>
      <c r="O685" s="7">
        <f t="shared" si="43"/>
        <v>-0.69314718055994529</v>
      </c>
    </row>
    <row r="686" spans="12:15" x14ac:dyDescent="0.15">
      <c r="L686" s="7">
        <f t="shared" si="40"/>
        <v>0</v>
      </c>
      <c r="M686" s="7">
        <f t="shared" si="41"/>
        <v>1</v>
      </c>
      <c r="N686" s="7">
        <f t="shared" si="42"/>
        <v>0.5</v>
      </c>
      <c r="O686" s="7">
        <f t="shared" si="43"/>
        <v>-0.69314718055994529</v>
      </c>
    </row>
    <row r="687" spans="12:15" x14ac:dyDescent="0.15">
      <c r="L687" s="7">
        <f t="shared" si="40"/>
        <v>0</v>
      </c>
      <c r="M687" s="7">
        <f t="shared" si="41"/>
        <v>1</v>
      </c>
      <c r="N687" s="7">
        <f t="shared" si="42"/>
        <v>0.5</v>
      </c>
      <c r="O687" s="7">
        <f t="shared" si="43"/>
        <v>-0.69314718055994529</v>
      </c>
    </row>
    <row r="688" spans="12:15" x14ac:dyDescent="0.15">
      <c r="L688" s="7">
        <f t="shared" si="40"/>
        <v>0</v>
      </c>
      <c r="M688" s="7">
        <f t="shared" si="41"/>
        <v>1</v>
      </c>
      <c r="N688" s="7">
        <f t="shared" si="42"/>
        <v>0.5</v>
      </c>
      <c r="O688" s="7">
        <f t="shared" si="43"/>
        <v>-0.69314718055994529</v>
      </c>
    </row>
    <row r="689" spans="12:15" x14ac:dyDescent="0.15">
      <c r="L689" s="7">
        <f t="shared" si="40"/>
        <v>0</v>
      </c>
      <c r="M689" s="7">
        <f t="shared" si="41"/>
        <v>1</v>
      </c>
      <c r="N689" s="7">
        <f t="shared" si="42"/>
        <v>0.5</v>
      </c>
      <c r="O689" s="7">
        <f t="shared" si="43"/>
        <v>-0.69314718055994529</v>
      </c>
    </row>
    <row r="690" spans="12:15" x14ac:dyDescent="0.15">
      <c r="L690" s="7">
        <f t="shared" si="40"/>
        <v>0</v>
      </c>
      <c r="M690" s="7">
        <f t="shared" si="41"/>
        <v>1</v>
      </c>
      <c r="N690" s="7">
        <f t="shared" si="42"/>
        <v>0.5</v>
      </c>
      <c r="O690" s="7">
        <f t="shared" si="43"/>
        <v>-0.69314718055994529</v>
      </c>
    </row>
    <row r="691" spans="12:15" x14ac:dyDescent="0.15">
      <c r="L691" s="7">
        <f t="shared" si="40"/>
        <v>0</v>
      </c>
      <c r="M691" s="7">
        <f t="shared" si="41"/>
        <v>1</v>
      </c>
      <c r="N691" s="7">
        <f t="shared" si="42"/>
        <v>0.5</v>
      </c>
      <c r="O691" s="7">
        <f t="shared" si="43"/>
        <v>-0.69314718055994529</v>
      </c>
    </row>
    <row r="692" spans="12:15" x14ac:dyDescent="0.15">
      <c r="L692" s="7">
        <f t="shared" si="40"/>
        <v>0</v>
      </c>
      <c r="M692" s="7">
        <f t="shared" si="41"/>
        <v>1</v>
      </c>
      <c r="N692" s="7">
        <f t="shared" si="42"/>
        <v>0.5</v>
      </c>
      <c r="O692" s="7">
        <f t="shared" si="43"/>
        <v>-0.69314718055994529</v>
      </c>
    </row>
    <row r="693" spans="12:15" x14ac:dyDescent="0.15">
      <c r="L693" s="7">
        <f t="shared" si="40"/>
        <v>0</v>
      </c>
      <c r="M693" s="7">
        <f t="shared" si="41"/>
        <v>1</v>
      </c>
      <c r="N693" s="7">
        <f t="shared" si="42"/>
        <v>0.5</v>
      </c>
      <c r="O693" s="7">
        <f t="shared" si="43"/>
        <v>-0.69314718055994529</v>
      </c>
    </row>
    <row r="694" spans="12:15" x14ac:dyDescent="0.15">
      <c r="L694" s="7">
        <f t="shared" si="40"/>
        <v>0</v>
      </c>
      <c r="M694" s="7">
        <f t="shared" si="41"/>
        <v>1</v>
      </c>
      <c r="N694" s="7">
        <f t="shared" si="42"/>
        <v>0.5</v>
      </c>
      <c r="O694" s="7">
        <f t="shared" si="43"/>
        <v>-0.69314718055994529</v>
      </c>
    </row>
    <row r="695" spans="12:15" x14ac:dyDescent="0.15">
      <c r="L695" s="7">
        <f t="shared" si="40"/>
        <v>0</v>
      </c>
      <c r="M695" s="7">
        <f t="shared" si="41"/>
        <v>1</v>
      </c>
      <c r="N695" s="7">
        <f t="shared" si="42"/>
        <v>0.5</v>
      </c>
      <c r="O695" s="7">
        <f t="shared" si="43"/>
        <v>-0.69314718055994529</v>
      </c>
    </row>
    <row r="696" spans="12:15" x14ac:dyDescent="0.15">
      <c r="L696" s="7">
        <f t="shared" si="40"/>
        <v>0</v>
      </c>
      <c r="M696" s="7">
        <f t="shared" si="41"/>
        <v>1</v>
      </c>
      <c r="N696" s="7">
        <f t="shared" si="42"/>
        <v>0.5</v>
      </c>
      <c r="O696" s="7">
        <f t="shared" si="43"/>
        <v>-0.69314718055994529</v>
      </c>
    </row>
    <row r="697" spans="12:15" x14ac:dyDescent="0.15">
      <c r="L697" s="7">
        <f t="shared" si="40"/>
        <v>0</v>
      </c>
      <c r="M697" s="7">
        <f t="shared" si="41"/>
        <v>1</v>
      </c>
      <c r="N697" s="7">
        <f t="shared" si="42"/>
        <v>0.5</v>
      </c>
      <c r="O697" s="7">
        <f t="shared" si="43"/>
        <v>-0.69314718055994529</v>
      </c>
    </row>
    <row r="698" spans="12:15" x14ac:dyDescent="0.15">
      <c r="L698" s="7">
        <f t="shared" si="40"/>
        <v>0</v>
      </c>
      <c r="M698" s="7">
        <f t="shared" si="41"/>
        <v>1</v>
      </c>
      <c r="N698" s="7">
        <f t="shared" si="42"/>
        <v>0.5</v>
      </c>
      <c r="O698" s="7">
        <f t="shared" si="43"/>
        <v>-0.69314718055994529</v>
      </c>
    </row>
    <row r="699" spans="12:15" x14ac:dyDescent="0.15">
      <c r="L699" s="7">
        <f t="shared" si="40"/>
        <v>0</v>
      </c>
      <c r="M699" s="7">
        <f t="shared" si="41"/>
        <v>1</v>
      </c>
      <c r="N699" s="7">
        <f t="shared" si="42"/>
        <v>0.5</v>
      </c>
      <c r="O699" s="7">
        <f t="shared" si="43"/>
        <v>-0.69314718055994529</v>
      </c>
    </row>
    <row r="700" spans="12:15" x14ac:dyDescent="0.15">
      <c r="L700" s="7">
        <f t="shared" si="40"/>
        <v>0</v>
      </c>
      <c r="M700" s="7">
        <f t="shared" si="41"/>
        <v>1</v>
      </c>
      <c r="N700" s="7">
        <f t="shared" si="42"/>
        <v>0.5</v>
      </c>
      <c r="O700" s="7">
        <f t="shared" si="43"/>
        <v>-0.69314718055994529</v>
      </c>
    </row>
    <row r="701" spans="12:15" x14ac:dyDescent="0.15">
      <c r="L701" s="7">
        <f t="shared" si="40"/>
        <v>0</v>
      </c>
      <c r="M701" s="7">
        <f t="shared" si="41"/>
        <v>1</v>
      </c>
      <c r="N701" s="7">
        <f t="shared" si="42"/>
        <v>0.5</v>
      </c>
      <c r="O701" s="7">
        <f t="shared" si="43"/>
        <v>-0.69314718055994529</v>
      </c>
    </row>
    <row r="702" spans="12:15" x14ac:dyDescent="0.15">
      <c r="L702" s="7">
        <f t="shared" si="40"/>
        <v>0</v>
      </c>
      <c r="M702" s="7">
        <f t="shared" si="41"/>
        <v>1</v>
      </c>
      <c r="N702" s="7">
        <f t="shared" si="42"/>
        <v>0.5</v>
      </c>
      <c r="O702" s="7">
        <f t="shared" si="43"/>
        <v>-0.69314718055994529</v>
      </c>
    </row>
    <row r="703" spans="12:15" x14ac:dyDescent="0.15">
      <c r="L703" s="7">
        <f t="shared" si="40"/>
        <v>0</v>
      </c>
      <c r="M703" s="7">
        <f t="shared" si="41"/>
        <v>1</v>
      </c>
      <c r="N703" s="7">
        <f t="shared" si="42"/>
        <v>0.5</v>
      </c>
      <c r="O703" s="7">
        <f t="shared" si="43"/>
        <v>-0.69314718055994529</v>
      </c>
    </row>
    <row r="704" spans="12:15" x14ac:dyDescent="0.15">
      <c r="L704" s="7">
        <f t="shared" si="40"/>
        <v>0</v>
      </c>
      <c r="M704" s="7">
        <f t="shared" si="41"/>
        <v>1</v>
      </c>
      <c r="N704" s="7">
        <f t="shared" si="42"/>
        <v>0.5</v>
      </c>
      <c r="O704" s="7">
        <f t="shared" si="43"/>
        <v>-0.69314718055994529</v>
      </c>
    </row>
    <row r="705" spans="12:15" x14ac:dyDescent="0.15">
      <c r="L705" s="7">
        <f t="shared" si="40"/>
        <v>0</v>
      </c>
      <c r="M705" s="7">
        <f t="shared" si="41"/>
        <v>1</v>
      </c>
      <c r="N705" s="7">
        <f t="shared" si="42"/>
        <v>0.5</v>
      </c>
      <c r="O705" s="7">
        <f t="shared" si="43"/>
        <v>-0.69314718055994529</v>
      </c>
    </row>
    <row r="706" spans="12:15" x14ac:dyDescent="0.15">
      <c r="L706" s="7">
        <f t="shared" si="40"/>
        <v>0</v>
      </c>
      <c r="M706" s="7">
        <f t="shared" si="41"/>
        <v>1</v>
      </c>
      <c r="N706" s="7">
        <f t="shared" si="42"/>
        <v>0.5</v>
      </c>
      <c r="O706" s="7">
        <f t="shared" si="43"/>
        <v>-0.69314718055994529</v>
      </c>
    </row>
    <row r="707" spans="12:15" x14ac:dyDescent="0.15">
      <c r="L707" s="7">
        <f t="shared" ref="L707:L770" si="44">$Q$1 + $Q$2*B707+$Q$3*C707+ $Q$4*D707+$Q$5*E707+$Q$6*F707+$Q$7*G707+H707*$Q$8+I707*$Q$9+J707*$Q$10+K707*$Q$11</f>
        <v>0</v>
      </c>
      <c r="M707" s="7">
        <f t="shared" ref="M707:M770" si="45">EXP(L707)</f>
        <v>1</v>
      </c>
      <c r="N707" s="7">
        <f t="shared" ref="N707:N770" si="46">1/(1+M707)</f>
        <v>0.5</v>
      </c>
      <c r="O707" s="7">
        <f t="shared" ref="O707:O770" si="47">A707*LN(N707)+(1-A707)*LN(1-N707)</f>
        <v>-0.69314718055994529</v>
      </c>
    </row>
    <row r="708" spans="12:15" x14ac:dyDescent="0.15">
      <c r="L708" s="7">
        <f t="shared" si="44"/>
        <v>0</v>
      </c>
      <c r="M708" s="7">
        <f t="shared" si="45"/>
        <v>1</v>
      </c>
      <c r="N708" s="7">
        <f t="shared" si="46"/>
        <v>0.5</v>
      </c>
      <c r="O708" s="7">
        <f t="shared" si="47"/>
        <v>-0.69314718055994529</v>
      </c>
    </row>
    <row r="709" spans="12:15" x14ac:dyDescent="0.15">
      <c r="L709" s="7">
        <f t="shared" si="44"/>
        <v>0</v>
      </c>
      <c r="M709" s="7">
        <f t="shared" si="45"/>
        <v>1</v>
      </c>
      <c r="N709" s="7">
        <f t="shared" si="46"/>
        <v>0.5</v>
      </c>
      <c r="O709" s="7">
        <f t="shared" si="47"/>
        <v>-0.69314718055994529</v>
      </c>
    </row>
    <row r="710" spans="12:15" x14ac:dyDescent="0.15">
      <c r="L710" s="7">
        <f t="shared" si="44"/>
        <v>0</v>
      </c>
      <c r="M710" s="7">
        <f t="shared" si="45"/>
        <v>1</v>
      </c>
      <c r="N710" s="7">
        <f t="shared" si="46"/>
        <v>0.5</v>
      </c>
      <c r="O710" s="7">
        <f t="shared" si="47"/>
        <v>-0.69314718055994529</v>
      </c>
    </row>
    <row r="711" spans="12:15" x14ac:dyDescent="0.15">
      <c r="L711" s="7">
        <f t="shared" si="44"/>
        <v>0</v>
      </c>
      <c r="M711" s="7">
        <f t="shared" si="45"/>
        <v>1</v>
      </c>
      <c r="N711" s="7">
        <f t="shared" si="46"/>
        <v>0.5</v>
      </c>
      <c r="O711" s="7">
        <f t="shared" si="47"/>
        <v>-0.69314718055994529</v>
      </c>
    </row>
    <row r="712" spans="12:15" x14ac:dyDescent="0.15">
      <c r="L712" s="7">
        <f t="shared" si="44"/>
        <v>0</v>
      </c>
      <c r="M712" s="7">
        <f t="shared" si="45"/>
        <v>1</v>
      </c>
      <c r="N712" s="7">
        <f t="shared" si="46"/>
        <v>0.5</v>
      </c>
      <c r="O712" s="7">
        <f t="shared" si="47"/>
        <v>-0.69314718055994529</v>
      </c>
    </row>
    <row r="713" spans="12:15" x14ac:dyDescent="0.15">
      <c r="L713" s="7">
        <f t="shared" si="44"/>
        <v>0</v>
      </c>
      <c r="M713" s="7">
        <f t="shared" si="45"/>
        <v>1</v>
      </c>
      <c r="N713" s="7">
        <f t="shared" si="46"/>
        <v>0.5</v>
      </c>
      <c r="O713" s="7">
        <f t="shared" si="47"/>
        <v>-0.69314718055994529</v>
      </c>
    </row>
    <row r="714" spans="12:15" x14ac:dyDescent="0.15">
      <c r="L714" s="7">
        <f t="shared" si="44"/>
        <v>0</v>
      </c>
      <c r="M714" s="7">
        <f t="shared" si="45"/>
        <v>1</v>
      </c>
      <c r="N714" s="7">
        <f t="shared" si="46"/>
        <v>0.5</v>
      </c>
      <c r="O714" s="7">
        <f t="shared" si="47"/>
        <v>-0.69314718055994529</v>
      </c>
    </row>
    <row r="715" spans="12:15" x14ac:dyDescent="0.15">
      <c r="L715" s="7">
        <f t="shared" si="44"/>
        <v>0</v>
      </c>
      <c r="M715" s="7">
        <f t="shared" si="45"/>
        <v>1</v>
      </c>
      <c r="N715" s="7">
        <f t="shared" si="46"/>
        <v>0.5</v>
      </c>
      <c r="O715" s="7">
        <f t="shared" si="47"/>
        <v>-0.69314718055994529</v>
      </c>
    </row>
    <row r="716" spans="12:15" x14ac:dyDescent="0.15">
      <c r="L716" s="7">
        <f t="shared" si="44"/>
        <v>0</v>
      </c>
      <c r="M716" s="7">
        <f t="shared" si="45"/>
        <v>1</v>
      </c>
      <c r="N716" s="7">
        <f t="shared" si="46"/>
        <v>0.5</v>
      </c>
      <c r="O716" s="7">
        <f t="shared" si="47"/>
        <v>-0.69314718055994529</v>
      </c>
    </row>
    <row r="717" spans="12:15" x14ac:dyDescent="0.15">
      <c r="L717" s="7">
        <f t="shared" si="44"/>
        <v>0</v>
      </c>
      <c r="M717" s="7">
        <f t="shared" si="45"/>
        <v>1</v>
      </c>
      <c r="N717" s="7">
        <f t="shared" si="46"/>
        <v>0.5</v>
      </c>
      <c r="O717" s="7">
        <f t="shared" si="47"/>
        <v>-0.69314718055994529</v>
      </c>
    </row>
    <row r="718" spans="12:15" x14ac:dyDescent="0.15">
      <c r="L718" s="7">
        <f t="shared" si="44"/>
        <v>0</v>
      </c>
      <c r="M718" s="7">
        <f t="shared" si="45"/>
        <v>1</v>
      </c>
      <c r="N718" s="7">
        <f t="shared" si="46"/>
        <v>0.5</v>
      </c>
      <c r="O718" s="7">
        <f t="shared" si="47"/>
        <v>-0.69314718055994529</v>
      </c>
    </row>
    <row r="719" spans="12:15" x14ac:dyDescent="0.15">
      <c r="L719" s="7">
        <f t="shared" si="44"/>
        <v>0</v>
      </c>
      <c r="M719" s="7">
        <f t="shared" si="45"/>
        <v>1</v>
      </c>
      <c r="N719" s="7">
        <f t="shared" si="46"/>
        <v>0.5</v>
      </c>
      <c r="O719" s="7">
        <f t="shared" si="47"/>
        <v>-0.69314718055994529</v>
      </c>
    </row>
    <row r="720" spans="12:15" x14ac:dyDescent="0.15">
      <c r="L720" s="7">
        <f t="shared" si="44"/>
        <v>0</v>
      </c>
      <c r="M720" s="7">
        <f t="shared" si="45"/>
        <v>1</v>
      </c>
      <c r="N720" s="7">
        <f t="shared" si="46"/>
        <v>0.5</v>
      </c>
      <c r="O720" s="7">
        <f t="shared" si="47"/>
        <v>-0.69314718055994529</v>
      </c>
    </row>
    <row r="721" spans="12:15" x14ac:dyDescent="0.15">
      <c r="L721" s="7">
        <f t="shared" si="44"/>
        <v>0</v>
      </c>
      <c r="M721" s="7">
        <f t="shared" si="45"/>
        <v>1</v>
      </c>
      <c r="N721" s="7">
        <f t="shared" si="46"/>
        <v>0.5</v>
      </c>
      <c r="O721" s="7">
        <f t="shared" si="47"/>
        <v>-0.69314718055994529</v>
      </c>
    </row>
    <row r="722" spans="12:15" x14ac:dyDescent="0.15">
      <c r="L722" s="7">
        <f t="shared" si="44"/>
        <v>0</v>
      </c>
      <c r="M722" s="7">
        <f t="shared" si="45"/>
        <v>1</v>
      </c>
      <c r="N722" s="7">
        <f t="shared" si="46"/>
        <v>0.5</v>
      </c>
      <c r="O722" s="7">
        <f t="shared" si="47"/>
        <v>-0.69314718055994529</v>
      </c>
    </row>
    <row r="723" spans="12:15" x14ac:dyDescent="0.15">
      <c r="L723" s="7">
        <f t="shared" si="44"/>
        <v>0</v>
      </c>
      <c r="M723" s="7">
        <f t="shared" si="45"/>
        <v>1</v>
      </c>
      <c r="N723" s="7">
        <f t="shared" si="46"/>
        <v>0.5</v>
      </c>
      <c r="O723" s="7">
        <f t="shared" si="47"/>
        <v>-0.69314718055994529</v>
      </c>
    </row>
    <row r="724" spans="12:15" x14ac:dyDescent="0.15">
      <c r="L724" s="7">
        <f t="shared" si="44"/>
        <v>0</v>
      </c>
      <c r="M724" s="7">
        <f t="shared" si="45"/>
        <v>1</v>
      </c>
      <c r="N724" s="7">
        <f t="shared" si="46"/>
        <v>0.5</v>
      </c>
      <c r="O724" s="7">
        <f t="shared" si="47"/>
        <v>-0.69314718055994529</v>
      </c>
    </row>
    <row r="725" spans="12:15" x14ac:dyDescent="0.15">
      <c r="L725" s="7">
        <f t="shared" si="44"/>
        <v>0</v>
      </c>
      <c r="M725" s="7">
        <f t="shared" si="45"/>
        <v>1</v>
      </c>
      <c r="N725" s="7">
        <f t="shared" si="46"/>
        <v>0.5</v>
      </c>
      <c r="O725" s="7">
        <f t="shared" si="47"/>
        <v>-0.69314718055994529</v>
      </c>
    </row>
    <row r="726" spans="12:15" x14ac:dyDescent="0.15">
      <c r="L726" s="7">
        <f t="shared" si="44"/>
        <v>0</v>
      </c>
      <c r="M726" s="7">
        <f t="shared" si="45"/>
        <v>1</v>
      </c>
      <c r="N726" s="7">
        <f t="shared" si="46"/>
        <v>0.5</v>
      </c>
      <c r="O726" s="7">
        <f t="shared" si="47"/>
        <v>-0.69314718055994529</v>
      </c>
    </row>
    <row r="727" spans="12:15" x14ac:dyDescent="0.15">
      <c r="L727" s="7">
        <f t="shared" si="44"/>
        <v>0</v>
      </c>
      <c r="M727" s="7">
        <f t="shared" si="45"/>
        <v>1</v>
      </c>
      <c r="N727" s="7">
        <f t="shared" si="46"/>
        <v>0.5</v>
      </c>
      <c r="O727" s="7">
        <f t="shared" si="47"/>
        <v>-0.69314718055994529</v>
      </c>
    </row>
    <row r="728" spans="12:15" x14ac:dyDescent="0.15">
      <c r="L728" s="7">
        <f t="shared" si="44"/>
        <v>0</v>
      </c>
      <c r="M728" s="7">
        <f t="shared" si="45"/>
        <v>1</v>
      </c>
      <c r="N728" s="7">
        <f t="shared" si="46"/>
        <v>0.5</v>
      </c>
      <c r="O728" s="7">
        <f t="shared" si="47"/>
        <v>-0.69314718055994529</v>
      </c>
    </row>
    <row r="729" spans="12:15" x14ac:dyDescent="0.15">
      <c r="L729" s="7">
        <f t="shared" si="44"/>
        <v>0</v>
      </c>
      <c r="M729" s="7">
        <f t="shared" si="45"/>
        <v>1</v>
      </c>
      <c r="N729" s="7">
        <f t="shared" si="46"/>
        <v>0.5</v>
      </c>
      <c r="O729" s="7">
        <f t="shared" si="47"/>
        <v>-0.69314718055994529</v>
      </c>
    </row>
    <row r="730" spans="12:15" x14ac:dyDescent="0.15">
      <c r="L730" s="7">
        <f t="shared" si="44"/>
        <v>0</v>
      </c>
      <c r="M730" s="7">
        <f t="shared" si="45"/>
        <v>1</v>
      </c>
      <c r="N730" s="7">
        <f t="shared" si="46"/>
        <v>0.5</v>
      </c>
      <c r="O730" s="7">
        <f t="shared" si="47"/>
        <v>-0.69314718055994529</v>
      </c>
    </row>
    <row r="731" spans="12:15" x14ac:dyDescent="0.15">
      <c r="L731" s="7">
        <f t="shared" si="44"/>
        <v>0</v>
      </c>
      <c r="M731" s="7">
        <f t="shared" si="45"/>
        <v>1</v>
      </c>
      <c r="N731" s="7">
        <f t="shared" si="46"/>
        <v>0.5</v>
      </c>
      <c r="O731" s="7">
        <f t="shared" si="47"/>
        <v>-0.69314718055994529</v>
      </c>
    </row>
    <row r="732" spans="12:15" x14ac:dyDescent="0.15">
      <c r="L732" s="7">
        <f t="shared" si="44"/>
        <v>0</v>
      </c>
      <c r="M732" s="7">
        <f t="shared" si="45"/>
        <v>1</v>
      </c>
      <c r="N732" s="7">
        <f t="shared" si="46"/>
        <v>0.5</v>
      </c>
      <c r="O732" s="7">
        <f t="shared" si="47"/>
        <v>-0.69314718055994529</v>
      </c>
    </row>
    <row r="733" spans="12:15" x14ac:dyDescent="0.15">
      <c r="L733" s="7">
        <f t="shared" si="44"/>
        <v>0</v>
      </c>
      <c r="M733" s="7">
        <f t="shared" si="45"/>
        <v>1</v>
      </c>
      <c r="N733" s="7">
        <f t="shared" si="46"/>
        <v>0.5</v>
      </c>
      <c r="O733" s="7">
        <f t="shared" si="47"/>
        <v>-0.69314718055994529</v>
      </c>
    </row>
    <row r="734" spans="12:15" x14ac:dyDescent="0.15">
      <c r="L734" s="7">
        <f t="shared" si="44"/>
        <v>0</v>
      </c>
      <c r="M734" s="7">
        <f t="shared" si="45"/>
        <v>1</v>
      </c>
      <c r="N734" s="7">
        <f t="shared" si="46"/>
        <v>0.5</v>
      </c>
      <c r="O734" s="7">
        <f t="shared" si="47"/>
        <v>-0.69314718055994529</v>
      </c>
    </row>
    <row r="735" spans="12:15" x14ac:dyDescent="0.15">
      <c r="L735" s="7">
        <f t="shared" si="44"/>
        <v>0</v>
      </c>
      <c r="M735" s="7">
        <f t="shared" si="45"/>
        <v>1</v>
      </c>
      <c r="N735" s="7">
        <f t="shared" si="46"/>
        <v>0.5</v>
      </c>
      <c r="O735" s="7">
        <f t="shared" si="47"/>
        <v>-0.69314718055994529</v>
      </c>
    </row>
    <row r="736" spans="12:15" x14ac:dyDescent="0.15">
      <c r="L736" s="7">
        <f t="shared" si="44"/>
        <v>0</v>
      </c>
      <c r="M736" s="7">
        <f t="shared" si="45"/>
        <v>1</v>
      </c>
      <c r="N736" s="7">
        <f t="shared" si="46"/>
        <v>0.5</v>
      </c>
      <c r="O736" s="7">
        <f t="shared" si="47"/>
        <v>-0.69314718055994529</v>
      </c>
    </row>
    <row r="737" spans="12:15" x14ac:dyDescent="0.15">
      <c r="L737" s="7">
        <f t="shared" si="44"/>
        <v>0</v>
      </c>
      <c r="M737" s="7">
        <f t="shared" si="45"/>
        <v>1</v>
      </c>
      <c r="N737" s="7">
        <f t="shared" si="46"/>
        <v>0.5</v>
      </c>
      <c r="O737" s="7">
        <f t="shared" si="47"/>
        <v>-0.69314718055994529</v>
      </c>
    </row>
    <row r="738" spans="12:15" x14ac:dyDescent="0.15">
      <c r="L738" s="7">
        <f t="shared" si="44"/>
        <v>0</v>
      </c>
      <c r="M738" s="7">
        <f t="shared" si="45"/>
        <v>1</v>
      </c>
      <c r="N738" s="7">
        <f t="shared" si="46"/>
        <v>0.5</v>
      </c>
      <c r="O738" s="7">
        <f t="shared" si="47"/>
        <v>-0.69314718055994529</v>
      </c>
    </row>
    <row r="739" spans="12:15" x14ac:dyDescent="0.15">
      <c r="L739" s="7">
        <f t="shared" si="44"/>
        <v>0</v>
      </c>
      <c r="M739" s="7">
        <f t="shared" si="45"/>
        <v>1</v>
      </c>
      <c r="N739" s="7">
        <f t="shared" si="46"/>
        <v>0.5</v>
      </c>
      <c r="O739" s="7">
        <f t="shared" si="47"/>
        <v>-0.69314718055994529</v>
      </c>
    </row>
    <row r="740" spans="12:15" x14ac:dyDescent="0.15">
      <c r="L740" s="7">
        <f t="shared" si="44"/>
        <v>0</v>
      </c>
      <c r="M740" s="7">
        <f t="shared" si="45"/>
        <v>1</v>
      </c>
      <c r="N740" s="7">
        <f t="shared" si="46"/>
        <v>0.5</v>
      </c>
      <c r="O740" s="7">
        <f t="shared" si="47"/>
        <v>-0.69314718055994529</v>
      </c>
    </row>
    <row r="741" spans="12:15" x14ac:dyDescent="0.15">
      <c r="L741" s="7">
        <f t="shared" si="44"/>
        <v>0</v>
      </c>
      <c r="M741" s="7">
        <f t="shared" si="45"/>
        <v>1</v>
      </c>
      <c r="N741" s="7">
        <f t="shared" si="46"/>
        <v>0.5</v>
      </c>
      <c r="O741" s="7">
        <f t="shared" si="47"/>
        <v>-0.69314718055994529</v>
      </c>
    </row>
    <row r="742" spans="12:15" x14ac:dyDescent="0.15">
      <c r="L742" s="7">
        <f t="shared" si="44"/>
        <v>0</v>
      </c>
      <c r="M742" s="7">
        <f t="shared" si="45"/>
        <v>1</v>
      </c>
      <c r="N742" s="7">
        <f t="shared" si="46"/>
        <v>0.5</v>
      </c>
      <c r="O742" s="7">
        <f t="shared" si="47"/>
        <v>-0.69314718055994529</v>
      </c>
    </row>
    <row r="743" spans="12:15" x14ac:dyDescent="0.15">
      <c r="L743" s="7">
        <f t="shared" si="44"/>
        <v>0</v>
      </c>
      <c r="M743" s="7">
        <f t="shared" si="45"/>
        <v>1</v>
      </c>
      <c r="N743" s="7">
        <f t="shared" si="46"/>
        <v>0.5</v>
      </c>
      <c r="O743" s="7">
        <f t="shared" si="47"/>
        <v>-0.69314718055994529</v>
      </c>
    </row>
    <row r="744" spans="12:15" x14ac:dyDescent="0.15">
      <c r="L744" s="7">
        <f t="shared" si="44"/>
        <v>0</v>
      </c>
      <c r="M744" s="7">
        <f t="shared" si="45"/>
        <v>1</v>
      </c>
      <c r="N744" s="7">
        <f t="shared" si="46"/>
        <v>0.5</v>
      </c>
      <c r="O744" s="7">
        <f t="shared" si="47"/>
        <v>-0.69314718055994529</v>
      </c>
    </row>
    <row r="745" spans="12:15" x14ac:dyDescent="0.15">
      <c r="L745" s="7">
        <f t="shared" si="44"/>
        <v>0</v>
      </c>
      <c r="M745" s="7">
        <f t="shared" si="45"/>
        <v>1</v>
      </c>
      <c r="N745" s="7">
        <f t="shared" si="46"/>
        <v>0.5</v>
      </c>
      <c r="O745" s="7">
        <f t="shared" si="47"/>
        <v>-0.69314718055994529</v>
      </c>
    </row>
    <row r="746" spans="12:15" x14ac:dyDescent="0.15">
      <c r="L746" s="7">
        <f t="shared" si="44"/>
        <v>0</v>
      </c>
      <c r="M746" s="7">
        <f t="shared" si="45"/>
        <v>1</v>
      </c>
      <c r="N746" s="7">
        <f t="shared" si="46"/>
        <v>0.5</v>
      </c>
      <c r="O746" s="7">
        <f t="shared" si="47"/>
        <v>-0.69314718055994529</v>
      </c>
    </row>
    <row r="747" spans="12:15" x14ac:dyDescent="0.15">
      <c r="L747" s="7">
        <f t="shared" si="44"/>
        <v>0</v>
      </c>
      <c r="M747" s="7">
        <f t="shared" si="45"/>
        <v>1</v>
      </c>
      <c r="N747" s="7">
        <f t="shared" si="46"/>
        <v>0.5</v>
      </c>
      <c r="O747" s="7">
        <f t="shared" si="47"/>
        <v>-0.69314718055994529</v>
      </c>
    </row>
    <row r="748" spans="12:15" x14ac:dyDescent="0.15">
      <c r="L748" s="7">
        <f t="shared" si="44"/>
        <v>0</v>
      </c>
      <c r="M748" s="7">
        <f t="shared" si="45"/>
        <v>1</v>
      </c>
      <c r="N748" s="7">
        <f t="shared" si="46"/>
        <v>0.5</v>
      </c>
      <c r="O748" s="7">
        <f t="shared" si="47"/>
        <v>-0.69314718055994529</v>
      </c>
    </row>
    <row r="749" spans="12:15" x14ac:dyDescent="0.15">
      <c r="L749" s="7">
        <f t="shared" si="44"/>
        <v>0</v>
      </c>
      <c r="M749" s="7">
        <f t="shared" si="45"/>
        <v>1</v>
      </c>
      <c r="N749" s="7">
        <f t="shared" si="46"/>
        <v>0.5</v>
      </c>
      <c r="O749" s="7">
        <f t="shared" si="47"/>
        <v>-0.69314718055994529</v>
      </c>
    </row>
    <row r="750" spans="12:15" x14ac:dyDescent="0.15">
      <c r="L750" s="7">
        <f t="shared" si="44"/>
        <v>0</v>
      </c>
      <c r="M750" s="7">
        <f t="shared" si="45"/>
        <v>1</v>
      </c>
      <c r="N750" s="7">
        <f t="shared" si="46"/>
        <v>0.5</v>
      </c>
      <c r="O750" s="7">
        <f t="shared" si="47"/>
        <v>-0.69314718055994529</v>
      </c>
    </row>
    <row r="751" spans="12:15" x14ac:dyDescent="0.15">
      <c r="L751" s="7">
        <f t="shared" si="44"/>
        <v>0</v>
      </c>
      <c r="M751" s="7">
        <f t="shared" si="45"/>
        <v>1</v>
      </c>
      <c r="N751" s="7">
        <f t="shared" si="46"/>
        <v>0.5</v>
      </c>
      <c r="O751" s="7">
        <f t="shared" si="47"/>
        <v>-0.69314718055994529</v>
      </c>
    </row>
    <row r="752" spans="12:15" x14ac:dyDescent="0.15">
      <c r="L752" s="7">
        <f t="shared" si="44"/>
        <v>0</v>
      </c>
      <c r="M752" s="7">
        <f t="shared" si="45"/>
        <v>1</v>
      </c>
      <c r="N752" s="7">
        <f t="shared" si="46"/>
        <v>0.5</v>
      </c>
      <c r="O752" s="7">
        <f t="shared" si="47"/>
        <v>-0.69314718055994529</v>
      </c>
    </row>
    <row r="753" spans="12:15" x14ac:dyDescent="0.15">
      <c r="L753" s="7">
        <f t="shared" si="44"/>
        <v>0</v>
      </c>
      <c r="M753" s="7">
        <f t="shared" si="45"/>
        <v>1</v>
      </c>
      <c r="N753" s="7">
        <f t="shared" si="46"/>
        <v>0.5</v>
      </c>
      <c r="O753" s="7">
        <f t="shared" si="47"/>
        <v>-0.69314718055994529</v>
      </c>
    </row>
    <row r="754" spans="12:15" x14ac:dyDescent="0.15">
      <c r="L754" s="7">
        <f t="shared" si="44"/>
        <v>0</v>
      </c>
      <c r="M754" s="7">
        <f t="shared" si="45"/>
        <v>1</v>
      </c>
      <c r="N754" s="7">
        <f t="shared" si="46"/>
        <v>0.5</v>
      </c>
      <c r="O754" s="7">
        <f t="shared" si="47"/>
        <v>-0.69314718055994529</v>
      </c>
    </row>
    <row r="755" spans="12:15" x14ac:dyDescent="0.15">
      <c r="L755" s="7">
        <f t="shared" si="44"/>
        <v>0</v>
      </c>
      <c r="M755" s="7">
        <f t="shared" si="45"/>
        <v>1</v>
      </c>
      <c r="N755" s="7">
        <f t="shared" si="46"/>
        <v>0.5</v>
      </c>
      <c r="O755" s="7">
        <f t="shared" si="47"/>
        <v>-0.69314718055994529</v>
      </c>
    </row>
    <row r="756" spans="12:15" x14ac:dyDescent="0.15">
      <c r="L756" s="7">
        <f t="shared" si="44"/>
        <v>0</v>
      </c>
      <c r="M756" s="7">
        <f t="shared" si="45"/>
        <v>1</v>
      </c>
      <c r="N756" s="7">
        <f t="shared" si="46"/>
        <v>0.5</v>
      </c>
      <c r="O756" s="7">
        <f t="shared" si="47"/>
        <v>-0.69314718055994529</v>
      </c>
    </row>
    <row r="757" spans="12:15" x14ac:dyDescent="0.15">
      <c r="L757" s="7">
        <f t="shared" si="44"/>
        <v>0</v>
      </c>
      <c r="M757" s="7">
        <f t="shared" si="45"/>
        <v>1</v>
      </c>
      <c r="N757" s="7">
        <f t="shared" si="46"/>
        <v>0.5</v>
      </c>
      <c r="O757" s="7">
        <f t="shared" si="47"/>
        <v>-0.69314718055994529</v>
      </c>
    </row>
    <row r="758" spans="12:15" x14ac:dyDescent="0.15">
      <c r="L758" s="7">
        <f t="shared" si="44"/>
        <v>0</v>
      </c>
      <c r="M758" s="7">
        <f t="shared" si="45"/>
        <v>1</v>
      </c>
      <c r="N758" s="7">
        <f t="shared" si="46"/>
        <v>0.5</v>
      </c>
      <c r="O758" s="7">
        <f t="shared" si="47"/>
        <v>-0.69314718055994529</v>
      </c>
    </row>
    <row r="759" spans="12:15" x14ac:dyDescent="0.15">
      <c r="L759" s="7">
        <f t="shared" si="44"/>
        <v>0</v>
      </c>
      <c r="M759" s="7">
        <f t="shared" si="45"/>
        <v>1</v>
      </c>
      <c r="N759" s="7">
        <f t="shared" si="46"/>
        <v>0.5</v>
      </c>
      <c r="O759" s="7">
        <f t="shared" si="47"/>
        <v>-0.69314718055994529</v>
      </c>
    </row>
    <row r="760" spans="12:15" x14ac:dyDescent="0.15">
      <c r="L760" s="7">
        <f t="shared" si="44"/>
        <v>0</v>
      </c>
      <c r="M760" s="7">
        <f t="shared" si="45"/>
        <v>1</v>
      </c>
      <c r="N760" s="7">
        <f t="shared" si="46"/>
        <v>0.5</v>
      </c>
      <c r="O760" s="7">
        <f t="shared" si="47"/>
        <v>-0.69314718055994529</v>
      </c>
    </row>
    <row r="761" spans="12:15" x14ac:dyDescent="0.15">
      <c r="L761" s="7">
        <f t="shared" si="44"/>
        <v>0</v>
      </c>
      <c r="M761" s="7">
        <f t="shared" si="45"/>
        <v>1</v>
      </c>
      <c r="N761" s="7">
        <f t="shared" si="46"/>
        <v>0.5</v>
      </c>
      <c r="O761" s="7">
        <f t="shared" si="47"/>
        <v>-0.69314718055994529</v>
      </c>
    </row>
    <row r="762" spans="12:15" x14ac:dyDescent="0.15">
      <c r="L762" s="7">
        <f t="shared" si="44"/>
        <v>0</v>
      </c>
      <c r="M762" s="7">
        <f t="shared" si="45"/>
        <v>1</v>
      </c>
      <c r="N762" s="7">
        <f t="shared" si="46"/>
        <v>0.5</v>
      </c>
      <c r="O762" s="7">
        <f t="shared" si="47"/>
        <v>-0.69314718055994529</v>
      </c>
    </row>
    <row r="763" spans="12:15" x14ac:dyDescent="0.15">
      <c r="L763" s="7">
        <f t="shared" si="44"/>
        <v>0</v>
      </c>
      <c r="M763" s="7">
        <f t="shared" si="45"/>
        <v>1</v>
      </c>
      <c r="N763" s="7">
        <f t="shared" si="46"/>
        <v>0.5</v>
      </c>
      <c r="O763" s="7">
        <f t="shared" si="47"/>
        <v>-0.69314718055994529</v>
      </c>
    </row>
    <row r="764" spans="12:15" x14ac:dyDescent="0.15">
      <c r="L764" s="7">
        <f t="shared" si="44"/>
        <v>0</v>
      </c>
      <c r="M764" s="7">
        <f t="shared" si="45"/>
        <v>1</v>
      </c>
      <c r="N764" s="7">
        <f t="shared" si="46"/>
        <v>0.5</v>
      </c>
      <c r="O764" s="7">
        <f t="shared" si="47"/>
        <v>-0.69314718055994529</v>
      </c>
    </row>
    <row r="765" spans="12:15" x14ac:dyDescent="0.15">
      <c r="L765" s="7">
        <f t="shared" si="44"/>
        <v>0</v>
      </c>
      <c r="M765" s="7">
        <f t="shared" si="45"/>
        <v>1</v>
      </c>
      <c r="N765" s="7">
        <f t="shared" si="46"/>
        <v>0.5</v>
      </c>
      <c r="O765" s="7">
        <f t="shared" si="47"/>
        <v>-0.69314718055994529</v>
      </c>
    </row>
    <row r="766" spans="12:15" x14ac:dyDescent="0.15">
      <c r="L766" s="7">
        <f t="shared" si="44"/>
        <v>0</v>
      </c>
      <c r="M766" s="7">
        <f t="shared" si="45"/>
        <v>1</v>
      </c>
      <c r="N766" s="7">
        <f t="shared" si="46"/>
        <v>0.5</v>
      </c>
      <c r="O766" s="7">
        <f t="shared" si="47"/>
        <v>-0.69314718055994529</v>
      </c>
    </row>
    <row r="767" spans="12:15" x14ac:dyDescent="0.15">
      <c r="L767" s="7">
        <f t="shared" si="44"/>
        <v>0</v>
      </c>
      <c r="M767" s="7">
        <f t="shared" si="45"/>
        <v>1</v>
      </c>
      <c r="N767" s="7">
        <f t="shared" si="46"/>
        <v>0.5</v>
      </c>
      <c r="O767" s="7">
        <f t="shared" si="47"/>
        <v>-0.69314718055994529</v>
      </c>
    </row>
    <row r="768" spans="12:15" x14ac:dyDescent="0.15">
      <c r="L768" s="7">
        <f t="shared" si="44"/>
        <v>0</v>
      </c>
      <c r="M768" s="7">
        <f t="shared" si="45"/>
        <v>1</v>
      </c>
      <c r="N768" s="7">
        <f t="shared" si="46"/>
        <v>0.5</v>
      </c>
      <c r="O768" s="7">
        <f t="shared" si="47"/>
        <v>-0.69314718055994529</v>
      </c>
    </row>
    <row r="769" spans="12:15" x14ac:dyDescent="0.15">
      <c r="L769" s="7">
        <f t="shared" si="44"/>
        <v>0</v>
      </c>
      <c r="M769" s="7">
        <f t="shared" si="45"/>
        <v>1</v>
      </c>
      <c r="N769" s="7">
        <f t="shared" si="46"/>
        <v>0.5</v>
      </c>
      <c r="O769" s="7">
        <f t="shared" si="47"/>
        <v>-0.69314718055994529</v>
      </c>
    </row>
    <row r="770" spans="12:15" x14ac:dyDescent="0.15">
      <c r="L770" s="7">
        <f t="shared" si="44"/>
        <v>0</v>
      </c>
      <c r="M770" s="7">
        <f t="shared" si="45"/>
        <v>1</v>
      </c>
      <c r="N770" s="7">
        <f t="shared" si="46"/>
        <v>0.5</v>
      </c>
      <c r="O770" s="7">
        <f t="shared" si="47"/>
        <v>-0.69314718055994529</v>
      </c>
    </row>
    <row r="771" spans="12:15" x14ac:dyDescent="0.15">
      <c r="L771" s="7">
        <f t="shared" ref="L771:L834" si="48">$Q$1 + $Q$2*B771+$Q$3*C771+ $Q$4*D771+$Q$5*E771+$Q$6*F771+$Q$7*G771+H771*$Q$8+I771*$Q$9+J771*$Q$10+K771*$Q$11</f>
        <v>0</v>
      </c>
      <c r="M771" s="7">
        <f t="shared" ref="M771:M834" si="49">EXP(L771)</f>
        <v>1</v>
      </c>
      <c r="N771" s="7">
        <f t="shared" ref="N771:N834" si="50">1/(1+M771)</f>
        <v>0.5</v>
      </c>
      <c r="O771" s="7">
        <f t="shared" ref="O771:O834" si="51">A771*LN(N771)+(1-A771)*LN(1-N771)</f>
        <v>-0.69314718055994529</v>
      </c>
    </row>
    <row r="772" spans="12:15" x14ac:dyDescent="0.15">
      <c r="L772" s="7">
        <f t="shared" si="48"/>
        <v>0</v>
      </c>
      <c r="M772" s="7">
        <f t="shared" si="49"/>
        <v>1</v>
      </c>
      <c r="N772" s="7">
        <f t="shared" si="50"/>
        <v>0.5</v>
      </c>
      <c r="O772" s="7">
        <f t="shared" si="51"/>
        <v>-0.69314718055994529</v>
      </c>
    </row>
    <row r="773" spans="12:15" x14ac:dyDescent="0.15">
      <c r="L773" s="7">
        <f t="shared" si="48"/>
        <v>0</v>
      </c>
      <c r="M773" s="7">
        <f t="shared" si="49"/>
        <v>1</v>
      </c>
      <c r="N773" s="7">
        <f t="shared" si="50"/>
        <v>0.5</v>
      </c>
      <c r="O773" s="7">
        <f t="shared" si="51"/>
        <v>-0.69314718055994529</v>
      </c>
    </row>
    <row r="774" spans="12:15" x14ac:dyDescent="0.15">
      <c r="L774" s="7">
        <f t="shared" si="48"/>
        <v>0</v>
      </c>
      <c r="M774" s="7">
        <f t="shared" si="49"/>
        <v>1</v>
      </c>
      <c r="N774" s="7">
        <f t="shared" si="50"/>
        <v>0.5</v>
      </c>
      <c r="O774" s="7">
        <f t="shared" si="51"/>
        <v>-0.69314718055994529</v>
      </c>
    </row>
    <row r="775" spans="12:15" x14ac:dyDescent="0.15">
      <c r="L775" s="7">
        <f t="shared" si="48"/>
        <v>0</v>
      </c>
      <c r="M775" s="7">
        <f t="shared" si="49"/>
        <v>1</v>
      </c>
      <c r="N775" s="7">
        <f t="shared" si="50"/>
        <v>0.5</v>
      </c>
      <c r="O775" s="7">
        <f t="shared" si="51"/>
        <v>-0.69314718055994529</v>
      </c>
    </row>
    <row r="776" spans="12:15" x14ac:dyDescent="0.15">
      <c r="L776" s="7">
        <f t="shared" si="48"/>
        <v>0</v>
      </c>
      <c r="M776" s="7">
        <f t="shared" si="49"/>
        <v>1</v>
      </c>
      <c r="N776" s="7">
        <f t="shared" si="50"/>
        <v>0.5</v>
      </c>
      <c r="O776" s="7">
        <f t="shared" si="51"/>
        <v>-0.69314718055994529</v>
      </c>
    </row>
    <row r="777" spans="12:15" x14ac:dyDescent="0.15">
      <c r="L777" s="7">
        <f t="shared" si="48"/>
        <v>0</v>
      </c>
      <c r="M777" s="7">
        <f t="shared" si="49"/>
        <v>1</v>
      </c>
      <c r="N777" s="7">
        <f t="shared" si="50"/>
        <v>0.5</v>
      </c>
      <c r="O777" s="7">
        <f t="shared" si="51"/>
        <v>-0.69314718055994529</v>
      </c>
    </row>
    <row r="778" spans="12:15" x14ac:dyDescent="0.15">
      <c r="L778" s="7">
        <f t="shared" si="48"/>
        <v>0</v>
      </c>
      <c r="M778" s="7">
        <f t="shared" si="49"/>
        <v>1</v>
      </c>
      <c r="N778" s="7">
        <f t="shared" si="50"/>
        <v>0.5</v>
      </c>
      <c r="O778" s="7">
        <f t="shared" si="51"/>
        <v>-0.69314718055994529</v>
      </c>
    </row>
    <row r="779" spans="12:15" x14ac:dyDescent="0.15">
      <c r="L779" s="7">
        <f t="shared" si="48"/>
        <v>0</v>
      </c>
      <c r="M779" s="7">
        <f t="shared" si="49"/>
        <v>1</v>
      </c>
      <c r="N779" s="7">
        <f t="shared" si="50"/>
        <v>0.5</v>
      </c>
      <c r="O779" s="7">
        <f t="shared" si="51"/>
        <v>-0.69314718055994529</v>
      </c>
    </row>
    <row r="780" spans="12:15" x14ac:dyDescent="0.15">
      <c r="L780" s="7">
        <f t="shared" si="48"/>
        <v>0</v>
      </c>
      <c r="M780" s="7">
        <f t="shared" si="49"/>
        <v>1</v>
      </c>
      <c r="N780" s="7">
        <f t="shared" si="50"/>
        <v>0.5</v>
      </c>
      <c r="O780" s="7">
        <f t="shared" si="51"/>
        <v>-0.69314718055994529</v>
      </c>
    </row>
    <row r="781" spans="12:15" x14ac:dyDescent="0.15">
      <c r="L781" s="7">
        <f t="shared" si="48"/>
        <v>0</v>
      </c>
      <c r="M781" s="7">
        <f t="shared" si="49"/>
        <v>1</v>
      </c>
      <c r="N781" s="7">
        <f t="shared" si="50"/>
        <v>0.5</v>
      </c>
      <c r="O781" s="7">
        <f t="shared" si="51"/>
        <v>-0.69314718055994529</v>
      </c>
    </row>
    <row r="782" spans="12:15" x14ac:dyDescent="0.15">
      <c r="L782" s="7">
        <f t="shared" si="48"/>
        <v>0</v>
      </c>
      <c r="M782" s="7">
        <f t="shared" si="49"/>
        <v>1</v>
      </c>
      <c r="N782" s="7">
        <f t="shared" si="50"/>
        <v>0.5</v>
      </c>
      <c r="O782" s="7">
        <f t="shared" si="51"/>
        <v>-0.69314718055994529</v>
      </c>
    </row>
    <row r="783" spans="12:15" x14ac:dyDescent="0.15">
      <c r="L783" s="7">
        <f t="shared" si="48"/>
        <v>0</v>
      </c>
      <c r="M783" s="7">
        <f t="shared" si="49"/>
        <v>1</v>
      </c>
      <c r="N783" s="7">
        <f t="shared" si="50"/>
        <v>0.5</v>
      </c>
      <c r="O783" s="7">
        <f t="shared" si="51"/>
        <v>-0.69314718055994529</v>
      </c>
    </row>
    <row r="784" spans="12:15" x14ac:dyDescent="0.15">
      <c r="L784" s="7">
        <f t="shared" si="48"/>
        <v>0</v>
      </c>
      <c r="M784" s="7">
        <f t="shared" si="49"/>
        <v>1</v>
      </c>
      <c r="N784" s="7">
        <f t="shared" si="50"/>
        <v>0.5</v>
      </c>
      <c r="O784" s="7">
        <f t="shared" si="51"/>
        <v>-0.69314718055994529</v>
      </c>
    </row>
    <row r="785" spans="12:15" x14ac:dyDescent="0.15">
      <c r="L785" s="7">
        <f t="shared" si="48"/>
        <v>0</v>
      </c>
      <c r="M785" s="7">
        <f t="shared" si="49"/>
        <v>1</v>
      </c>
      <c r="N785" s="7">
        <f t="shared" si="50"/>
        <v>0.5</v>
      </c>
      <c r="O785" s="7">
        <f t="shared" si="51"/>
        <v>-0.69314718055994529</v>
      </c>
    </row>
    <row r="786" spans="12:15" x14ac:dyDescent="0.15">
      <c r="L786" s="7">
        <f t="shared" si="48"/>
        <v>0</v>
      </c>
      <c r="M786" s="7">
        <f t="shared" si="49"/>
        <v>1</v>
      </c>
      <c r="N786" s="7">
        <f t="shared" si="50"/>
        <v>0.5</v>
      </c>
      <c r="O786" s="7">
        <f t="shared" si="51"/>
        <v>-0.69314718055994529</v>
      </c>
    </row>
    <row r="787" spans="12:15" x14ac:dyDescent="0.15">
      <c r="L787" s="7">
        <f t="shared" si="48"/>
        <v>0</v>
      </c>
      <c r="M787" s="7">
        <f t="shared" si="49"/>
        <v>1</v>
      </c>
      <c r="N787" s="7">
        <f t="shared" si="50"/>
        <v>0.5</v>
      </c>
      <c r="O787" s="7">
        <f t="shared" si="51"/>
        <v>-0.69314718055994529</v>
      </c>
    </row>
    <row r="788" spans="12:15" x14ac:dyDescent="0.15">
      <c r="L788" s="7">
        <f t="shared" si="48"/>
        <v>0</v>
      </c>
      <c r="M788" s="7">
        <f t="shared" si="49"/>
        <v>1</v>
      </c>
      <c r="N788" s="7">
        <f t="shared" si="50"/>
        <v>0.5</v>
      </c>
      <c r="O788" s="7">
        <f t="shared" si="51"/>
        <v>-0.69314718055994529</v>
      </c>
    </row>
    <row r="789" spans="12:15" x14ac:dyDescent="0.15">
      <c r="L789" s="7">
        <f t="shared" si="48"/>
        <v>0</v>
      </c>
      <c r="M789" s="7">
        <f t="shared" si="49"/>
        <v>1</v>
      </c>
      <c r="N789" s="7">
        <f t="shared" si="50"/>
        <v>0.5</v>
      </c>
      <c r="O789" s="7">
        <f t="shared" si="51"/>
        <v>-0.69314718055994529</v>
      </c>
    </row>
    <row r="790" spans="12:15" x14ac:dyDescent="0.15">
      <c r="L790" s="7">
        <f t="shared" si="48"/>
        <v>0</v>
      </c>
      <c r="M790" s="7">
        <f t="shared" si="49"/>
        <v>1</v>
      </c>
      <c r="N790" s="7">
        <f t="shared" si="50"/>
        <v>0.5</v>
      </c>
      <c r="O790" s="7">
        <f t="shared" si="51"/>
        <v>-0.69314718055994529</v>
      </c>
    </row>
    <row r="791" spans="12:15" x14ac:dyDescent="0.15">
      <c r="L791" s="7">
        <f t="shared" si="48"/>
        <v>0</v>
      </c>
      <c r="M791" s="7">
        <f t="shared" si="49"/>
        <v>1</v>
      </c>
      <c r="N791" s="7">
        <f t="shared" si="50"/>
        <v>0.5</v>
      </c>
      <c r="O791" s="7">
        <f t="shared" si="51"/>
        <v>-0.69314718055994529</v>
      </c>
    </row>
    <row r="792" spans="12:15" x14ac:dyDescent="0.15">
      <c r="L792" s="7">
        <f t="shared" si="48"/>
        <v>0</v>
      </c>
      <c r="M792" s="7">
        <f t="shared" si="49"/>
        <v>1</v>
      </c>
      <c r="N792" s="7">
        <f t="shared" si="50"/>
        <v>0.5</v>
      </c>
      <c r="O792" s="7">
        <f t="shared" si="51"/>
        <v>-0.69314718055994529</v>
      </c>
    </row>
    <row r="793" spans="12:15" x14ac:dyDescent="0.15">
      <c r="L793" s="7">
        <f t="shared" si="48"/>
        <v>0</v>
      </c>
      <c r="M793" s="7">
        <f t="shared" si="49"/>
        <v>1</v>
      </c>
      <c r="N793" s="7">
        <f t="shared" si="50"/>
        <v>0.5</v>
      </c>
      <c r="O793" s="7">
        <f t="shared" si="51"/>
        <v>-0.69314718055994529</v>
      </c>
    </row>
    <row r="794" spans="12:15" x14ac:dyDescent="0.15">
      <c r="L794" s="7">
        <f t="shared" si="48"/>
        <v>0</v>
      </c>
      <c r="M794" s="7">
        <f t="shared" si="49"/>
        <v>1</v>
      </c>
      <c r="N794" s="7">
        <f t="shared" si="50"/>
        <v>0.5</v>
      </c>
      <c r="O794" s="7">
        <f t="shared" si="51"/>
        <v>-0.69314718055994529</v>
      </c>
    </row>
    <row r="795" spans="12:15" x14ac:dyDescent="0.15">
      <c r="L795" s="7">
        <f t="shared" si="48"/>
        <v>0</v>
      </c>
      <c r="M795" s="7">
        <f t="shared" si="49"/>
        <v>1</v>
      </c>
      <c r="N795" s="7">
        <f t="shared" si="50"/>
        <v>0.5</v>
      </c>
      <c r="O795" s="7">
        <f t="shared" si="51"/>
        <v>-0.69314718055994529</v>
      </c>
    </row>
    <row r="796" spans="12:15" x14ac:dyDescent="0.15">
      <c r="L796" s="7">
        <f t="shared" si="48"/>
        <v>0</v>
      </c>
      <c r="M796" s="7">
        <f t="shared" si="49"/>
        <v>1</v>
      </c>
      <c r="N796" s="7">
        <f t="shared" si="50"/>
        <v>0.5</v>
      </c>
      <c r="O796" s="7">
        <f t="shared" si="51"/>
        <v>-0.69314718055994529</v>
      </c>
    </row>
    <row r="797" spans="12:15" x14ac:dyDescent="0.15">
      <c r="L797" s="7">
        <f t="shared" si="48"/>
        <v>0</v>
      </c>
      <c r="M797" s="7">
        <f t="shared" si="49"/>
        <v>1</v>
      </c>
      <c r="N797" s="7">
        <f t="shared" si="50"/>
        <v>0.5</v>
      </c>
      <c r="O797" s="7">
        <f t="shared" si="51"/>
        <v>-0.69314718055994529</v>
      </c>
    </row>
    <row r="798" spans="12:15" x14ac:dyDescent="0.15">
      <c r="L798" s="7">
        <f t="shared" si="48"/>
        <v>0</v>
      </c>
      <c r="M798" s="7">
        <f t="shared" si="49"/>
        <v>1</v>
      </c>
      <c r="N798" s="7">
        <f t="shared" si="50"/>
        <v>0.5</v>
      </c>
      <c r="O798" s="7">
        <f t="shared" si="51"/>
        <v>-0.69314718055994529</v>
      </c>
    </row>
    <row r="799" spans="12:15" x14ac:dyDescent="0.15">
      <c r="L799" s="7">
        <f t="shared" si="48"/>
        <v>0</v>
      </c>
      <c r="M799" s="7">
        <f t="shared" si="49"/>
        <v>1</v>
      </c>
      <c r="N799" s="7">
        <f t="shared" si="50"/>
        <v>0.5</v>
      </c>
      <c r="O799" s="7">
        <f t="shared" si="51"/>
        <v>-0.69314718055994529</v>
      </c>
    </row>
    <row r="800" spans="12:15" x14ac:dyDescent="0.15">
      <c r="L800" s="7">
        <f t="shared" si="48"/>
        <v>0</v>
      </c>
      <c r="M800" s="7">
        <f t="shared" si="49"/>
        <v>1</v>
      </c>
      <c r="N800" s="7">
        <f t="shared" si="50"/>
        <v>0.5</v>
      </c>
      <c r="O800" s="7">
        <f t="shared" si="51"/>
        <v>-0.69314718055994529</v>
      </c>
    </row>
    <row r="801" spans="12:15" x14ac:dyDescent="0.15">
      <c r="L801" s="7">
        <f t="shared" si="48"/>
        <v>0</v>
      </c>
      <c r="M801" s="7">
        <f t="shared" si="49"/>
        <v>1</v>
      </c>
      <c r="N801" s="7">
        <f t="shared" si="50"/>
        <v>0.5</v>
      </c>
      <c r="O801" s="7">
        <f t="shared" si="51"/>
        <v>-0.69314718055994529</v>
      </c>
    </row>
    <row r="802" spans="12:15" x14ac:dyDescent="0.15">
      <c r="L802" s="7">
        <f t="shared" si="48"/>
        <v>0</v>
      </c>
      <c r="M802" s="7">
        <f t="shared" si="49"/>
        <v>1</v>
      </c>
      <c r="N802" s="7">
        <f t="shared" si="50"/>
        <v>0.5</v>
      </c>
      <c r="O802" s="7">
        <f t="shared" si="51"/>
        <v>-0.69314718055994529</v>
      </c>
    </row>
    <row r="803" spans="12:15" x14ac:dyDescent="0.15">
      <c r="L803" s="7">
        <f t="shared" si="48"/>
        <v>0</v>
      </c>
      <c r="M803" s="7">
        <f t="shared" si="49"/>
        <v>1</v>
      </c>
      <c r="N803" s="7">
        <f t="shared" si="50"/>
        <v>0.5</v>
      </c>
      <c r="O803" s="7">
        <f t="shared" si="51"/>
        <v>-0.69314718055994529</v>
      </c>
    </row>
    <row r="804" spans="12:15" x14ac:dyDescent="0.15">
      <c r="L804" s="7">
        <f t="shared" si="48"/>
        <v>0</v>
      </c>
      <c r="M804" s="7">
        <f t="shared" si="49"/>
        <v>1</v>
      </c>
      <c r="N804" s="7">
        <f t="shared" si="50"/>
        <v>0.5</v>
      </c>
      <c r="O804" s="7">
        <f t="shared" si="51"/>
        <v>-0.69314718055994529</v>
      </c>
    </row>
    <row r="805" spans="12:15" x14ac:dyDescent="0.15">
      <c r="L805" s="7">
        <f t="shared" si="48"/>
        <v>0</v>
      </c>
      <c r="M805" s="7">
        <f t="shared" si="49"/>
        <v>1</v>
      </c>
      <c r="N805" s="7">
        <f t="shared" si="50"/>
        <v>0.5</v>
      </c>
      <c r="O805" s="7">
        <f t="shared" si="51"/>
        <v>-0.69314718055994529</v>
      </c>
    </row>
    <row r="806" spans="12:15" x14ac:dyDescent="0.15">
      <c r="L806" s="7">
        <f t="shared" si="48"/>
        <v>0</v>
      </c>
      <c r="M806" s="7">
        <f t="shared" si="49"/>
        <v>1</v>
      </c>
      <c r="N806" s="7">
        <f t="shared" si="50"/>
        <v>0.5</v>
      </c>
      <c r="O806" s="7">
        <f t="shared" si="51"/>
        <v>-0.69314718055994529</v>
      </c>
    </row>
    <row r="807" spans="12:15" x14ac:dyDescent="0.15">
      <c r="L807" s="7">
        <f t="shared" si="48"/>
        <v>0</v>
      </c>
      <c r="M807" s="7">
        <f t="shared" si="49"/>
        <v>1</v>
      </c>
      <c r="N807" s="7">
        <f t="shared" si="50"/>
        <v>0.5</v>
      </c>
      <c r="O807" s="7">
        <f t="shared" si="51"/>
        <v>-0.69314718055994529</v>
      </c>
    </row>
    <row r="808" spans="12:15" x14ac:dyDescent="0.15">
      <c r="L808" s="7">
        <f t="shared" si="48"/>
        <v>0</v>
      </c>
      <c r="M808" s="7">
        <f t="shared" si="49"/>
        <v>1</v>
      </c>
      <c r="N808" s="7">
        <f t="shared" si="50"/>
        <v>0.5</v>
      </c>
      <c r="O808" s="7">
        <f t="shared" si="51"/>
        <v>-0.69314718055994529</v>
      </c>
    </row>
    <row r="809" spans="12:15" x14ac:dyDescent="0.15">
      <c r="L809" s="7">
        <f t="shared" si="48"/>
        <v>0</v>
      </c>
      <c r="M809" s="7">
        <f t="shared" si="49"/>
        <v>1</v>
      </c>
      <c r="N809" s="7">
        <f t="shared" si="50"/>
        <v>0.5</v>
      </c>
      <c r="O809" s="7">
        <f t="shared" si="51"/>
        <v>-0.69314718055994529</v>
      </c>
    </row>
    <row r="810" spans="12:15" x14ac:dyDescent="0.15">
      <c r="L810" s="7">
        <f t="shared" si="48"/>
        <v>0</v>
      </c>
      <c r="M810" s="7">
        <f t="shared" si="49"/>
        <v>1</v>
      </c>
      <c r="N810" s="7">
        <f t="shared" si="50"/>
        <v>0.5</v>
      </c>
      <c r="O810" s="7">
        <f t="shared" si="51"/>
        <v>-0.69314718055994529</v>
      </c>
    </row>
    <row r="811" spans="12:15" x14ac:dyDescent="0.15">
      <c r="L811" s="7">
        <f t="shared" si="48"/>
        <v>0</v>
      </c>
      <c r="M811" s="7">
        <f t="shared" si="49"/>
        <v>1</v>
      </c>
      <c r="N811" s="7">
        <f t="shared" si="50"/>
        <v>0.5</v>
      </c>
      <c r="O811" s="7">
        <f t="shared" si="51"/>
        <v>-0.69314718055994529</v>
      </c>
    </row>
    <row r="812" spans="12:15" x14ac:dyDescent="0.15">
      <c r="L812" s="7">
        <f t="shared" si="48"/>
        <v>0</v>
      </c>
      <c r="M812" s="7">
        <f t="shared" si="49"/>
        <v>1</v>
      </c>
      <c r="N812" s="7">
        <f t="shared" si="50"/>
        <v>0.5</v>
      </c>
      <c r="O812" s="7">
        <f t="shared" si="51"/>
        <v>-0.69314718055994529</v>
      </c>
    </row>
    <row r="813" spans="12:15" x14ac:dyDescent="0.15">
      <c r="L813" s="7">
        <f t="shared" si="48"/>
        <v>0</v>
      </c>
      <c r="M813" s="7">
        <f t="shared" si="49"/>
        <v>1</v>
      </c>
      <c r="N813" s="7">
        <f t="shared" si="50"/>
        <v>0.5</v>
      </c>
      <c r="O813" s="7">
        <f t="shared" si="51"/>
        <v>-0.69314718055994529</v>
      </c>
    </row>
    <row r="814" spans="12:15" x14ac:dyDescent="0.15">
      <c r="L814" s="7">
        <f t="shared" si="48"/>
        <v>0</v>
      </c>
      <c r="M814" s="7">
        <f t="shared" si="49"/>
        <v>1</v>
      </c>
      <c r="N814" s="7">
        <f t="shared" si="50"/>
        <v>0.5</v>
      </c>
      <c r="O814" s="7">
        <f t="shared" si="51"/>
        <v>-0.69314718055994529</v>
      </c>
    </row>
    <row r="815" spans="12:15" x14ac:dyDescent="0.15">
      <c r="L815" s="7">
        <f t="shared" si="48"/>
        <v>0</v>
      </c>
      <c r="M815" s="7">
        <f t="shared" si="49"/>
        <v>1</v>
      </c>
      <c r="N815" s="7">
        <f t="shared" si="50"/>
        <v>0.5</v>
      </c>
      <c r="O815" s="7">
        <f t="shared" si="51"/>
        <v>-0.69314718055994529</v>
      </c>
    </row>
    <row r="816" spans="12:15" x14ac:dyDescent="0.15">
      <c r="L816" s="7">
        <f t="shared" si="48"/>
        <v>0</v>
      </c>
      <c r="M816" s="7">
        <f t="shared" si="49"/>
        <v>1</v>
      </c>
      <c r="N816" s="7">
        <f t="shared" si="50"/>
        <v>0.5</v>
      </c>
      <c r="O816" s="7">
        <f t="shared" si="51"/>
        <v>-0.69314718055994529</v>
      </c>
    </row>
    <row r="817" spans="12:15" x14ac:dyDescent="0.15">
      <c r="L817" s="7">
        <f t="shared" si="48"/>
        <v>0</v>
      </c>
      <c r="M817" s="7">
        <f t="shared" si="49"/>
        <v>1</v>
      </c>
      <c r="N817" s="7">
        <f t="shared" si="50"/>
        <v>0.5</v>
      </c>
      <c r="O817" s="7">
        <f t="shared" si="51"/>
        <v>-0.69314718055994529</v>
      </c>
    </row>
    <row r="818" spans="12:15" x14ac:dyDescent="0.15">
      <c r="L818" s="7">
        <f t="shared" si="48"/>
        <v>0</v>
      </c>
      <c r="M818" s="7">
        <f t="shared" si="49"/>
        <v>1</v>
      </c>
      <c r="N818" s="7">
        <f t="shared" si="50"/>
        <v>0.5</v>
      </c>
      <c r="O818" s="7">
        <f t="shared" si="51"/>
        <v>-0.69314718055994529</v>
      </c>
    </row>
    <row r="819" spans="12:15" x14ac:dyDescent="0.15">
      <c r="L819" s="7">
        <f t="shared" si="48"/>
        <v>0</v>
      </c>
      <c r="M819" s="7">
        <f t="shared" si="49"/>
        <v>1</v>
      </c>
      <c r="N819" s="7">
        <f t="shared" si="50"/>
        <v>0.5</v>
      </c>
      <c r="O819" s="7">
        <f t="shared" si="51"/>
        <v>-0.69314718055994529</v>
      </c>
    </row>
    <row r="820" spans="12:15" x14ac:dyDescent="0.15">
      <c r="L820" s="7">
        <f t="shared" si="48"/>
        <v>0</v>
      </c>
      <c r="M820" s="7">
        <f t="shared" si="49"/>
        <v>1</v>
      </c>
      <c r="N820" s="7">
        <f t="shared" si="50"/>
        <v>0.5</v>
      </c>
      <c r="O820" s="7">
        <f t="shared" si="51"/>
        <v>-0.69314718055994529</v>
      </c>
    </row>
    <row r="821" spans="12:15" x14ac:dyDescent="0.15">
      <c r="L821" s="7">
        <f t="shared" si="48"/>
        <v>0</v>
      </c>
      <c r="M821" s="7">
        <f t="shared" si="49"/>
        <v>1</v>
      </c>
      <c r="N821" s="7">
        <f t="shared" si="50"/>
        <v>0.5</v>
      </c>
      <c r="O821" s="7">
        <f t="shared" si="51"/>
        <v>-0.69314718055994529</v>
      </c>
    </row>
    <row r="822" spans="12:15" x14ac:dyDescent="0.15">
      <c r="L822" s="7">
        <f t="shared" si="48"/>
        <v>0</v>
      </c>
      <c r="M822" s="7">
        <f t="shared" si="49"/>
        <v>1</v>
      </c>
      <c r="N822" s="7">
        <f t="shared" si="50"/>
        <v>0.5</v>
      </c>
      <c r="O822" s="7">
        <f t="shared" si="51"/>
        <v>-0.69314718055994529</v>
      </c>
    </row>
    <row r="823" spans="12:15" x14ac:dyDescent="0.15">
      <c r="L823" s="7">
        <f t="shared" si="48"/>
        <v>0</v>
      </c>
      <c r="M823" s="7">
        <f t="shared" si="49"/>
        <v>1</v>
      </c>
      <c r="N823" s="7">
        <f t="shared" si="50"/>
        <v>0.5</v>
      </c>
      <c r="O823" s="7">
        <f t="shared" si="51"/>
        <v>-0.69314718055994529</v>
      </c>
    </row>
    <row r="824" spans="12:15" x14ac:dyDescent="0.15">
      <c r="L824" s="7">
        <f t="shared" si="48"/>
        <v>0</v>
      </c>
      <c r="M824" s="7">
        <f t="shared" si="49"/>
        <v>1</v>
      </c>
      <c r="N824" s="7">
        <f t="shared" si="50"/>
        <v>0.5</v>
      </c>
      <c r="O824" s="7">
        <f t="shared" si="51"/>
        <v>-0.69314718055994529</v>
      </c>
    </row>
    <row r="825" spans="12:15" x14ac:dyDescent="0.15">
      <c r="L825" s="7">
        <f t="shared" si="48"/>
        <v>0</v>
      </c>
      <c r="M825" s="7">
        <f t="shared" si="49"/>
        <v>1</v>
      </c>
      <c r="N825" s="7">
        <f t="shared" si="50"/>
        <v>0.5</v>
      </c>
      <c r="O825" s="7">
        <f t="shared" si="51"/>
        <v>-0.69314718055994529</v>
      </c>
    </row>
    <row r="826" spans="12:15" x14ac:dyDescent="0.15">
      <c r="L826" s="7">
        <f t="shared" si="48"/>
        <v>0</v>
      </c>
      <c r="M826" s="7">
        <f t="shared" si="49"/>
        <v>1</v>
      </c>
      <c r="N826" s="7">
        <f t="shared" si="50"/>
        <v>0.5</v>
      </c>
      <c r="O826" s="7">
        <f t="shared" si="51"/>
        <v>-0.69314718055994529</v>
      </c>
    </row>
    <row r="827" spans="12:15" x14ac:dyDescent="0.15">
      <c r="L827" s="7">
        <f t="shared" si="48"/>
        <v>0</v>
      </c>
      <c r="M827" s="7">
        <f t="shared" si="49"/>
        <v>1</v>
      </c>
      <c r="N827" s="7">
        <f t="shared" si="50"/>
        <v>0.5</v>
      </c>
      <c r="O827" s="7">
        <f t="shared" si="51"/>
        <v>-0.69314718055994529</v>
      </c>
    </row>
    <row r="828" spans="12:15" x14ac:dyDescent="0.15">
      <c r="L828" s="7">
        <f t="shared" si="48"/>
        <v>0</v>
      </c>
      <c r="M828" s="7">
        <f t="shared" si="49"/>
        <v>1</v>
      </c>
      <c r="N828" s="7">
        <f t="shared" si="50"/>
        <v>0.5</v>
      </c>
      <c r="O828" s="7">
        <f t="shared" si="51"/>
        <v>-0.69314718055994529</v>
      </c>
    </row>
    <row r="829" spans="12:15" x14ac:dyDescent="0.15">
      <c r="L829" s="7">
        <f t="shared" si="48"/>
        <v>0</v>
      </c>
      <c r="M829" s="7">
        <f t="shared" si="49"/>
        <v>1</v>
      </c>
      <c r="N829" s="7">
        <f t="shared" si="50"/>
        <v>0.5</v>
      </c>
      <c r="O829" s="7">
        <f t="shared" si="51"/>
        <v>-0.69314718055994529</v>
      </c>
    </row>
    <row r="830" spans="12:15" x14ac:dyDescent="0.15">
      <c r="L830" s="7">
        <f t="shared" si="48"/>
        <v>0</v>
      </c>
      <c r="M830" s="7">
        <f t="shared" si="49"/>
        <v>1</v>
      </c>
      <c r="N830" s="7">
        <f t="shared" si="50"/>
        <v>0.5</v>
      </c>
      <c r="O830" s="7">
        <f t="shared" si="51"/>
        <v>-0.69314718055994529</v>
      </c>
    </row>
    <row r="831" spans="12:15" x14ac:dyDescent="0.15">
      <c r="L831" s="7">
        <f t="shared" si="48"/>
        <v>0</v>
      </c>
      <c r="M831" s="7">
        <f t="shared" si="49"/>
        <v>1</v>
      </c>
      <c r="N831" s="7">
        <f t="shared" si="50"/>
        <v>0.5</v>
      </c>
      <c r="O831" s="7">
        <f t="shared" si="51"/>
        <v>-0.69314718055994529</v>
      </c>
    </row>
    <row r="832" spans="12:15" x14ac:dyDescent="0.15">
      <c r="L832" s="7">
        <f t="shared" si="48"/>
        <v>0</v>
      </c>
      <c r="M832" s="7">
        <f t="shared" si="49"/>
        <v>1</v>
      </c>
      <c r="N832" s="7">
        <f t="shared" si="50"/>
        <v>0.5</v>
      </c>
      <c r="O832" s="7">
        <f t="shared" si="51"/>
        <v>-0.69314718055994529</v>
      </c>
    </row>
    <row r="833" spans="12:15" x14ac:dyDescent="0.15">
      <c r="L833" s="7">
        <f t="shared" si="48"/>
        <v>0</v>
      </c>
      <c r="M833" s="7">
        <f t="shared" si="49"/>
        <v>1</v>
      </c>
      <c r="N833" s="7">
        <f t="shared" si="50"/>
        <v>0.5</v>
      </c>
      <c r="O833" s="7">
        <f t="shared" si="51"/>
        <v>-0.69314718055994529</v>
      </c>
    </row>
    <row r="834" spans="12:15" x14ac:dyDescent="0.15">
      <c r="L834" s="7">
        <f t="shared" si="48"/>
        <v>0</v>
      </c>
      <c r="M834" s="7">
        <f t="shared" si="49"/>
        <v>1</v>
      </c>
      <c r="N834" s="7">
        <f t="shared" si="50"/>
        <v>0.5</v>
      </c>
      <c r="O834" s="7">
        <f t="shared" si="51"/>
        <v>-0.69314718055994529</v>
      </c>
    </row>
    <row r="835" spans="12:15" x14ac:dyDescent="0.15">
      <c r="L835" s="7">
        <f t="shared" ref="L835:L898" si="52">$Q$1 + $Q$2*B835+$Q$3*C835+ $Q$4*D835+$Q$5*E835+$Q$6*F835+$Q$7*G835+H835*$Q$8+I835*$Q$9+J835*$Q$10+K835*$Q$11</f>
        <v>0</v>
      </c>
      <c r="M835" s="7">
        <f t="shared" ref="M835:M898" si="53">EXP(L835)</f>
        <v>1</v>
      </c>
      <c r="N835" s="7">
        <f t="shared" ref="N835:N898" si="54">1/(1+M835)</f>
        <v>0.5</v>
      </c>
      <c r="O835" s="7">
        <f t="shared" ref="O835:O898" si="55">A835*LN(N835)+(1-A835)*LN(1-N835)</f>
        <v>-0.69314718055994529</v>
      </c>
    </row>
    <row r="836" spans="12:15" x14ac:dyDescent="0.15">
      <c r="L836" s="7">
        <f t="shared" si="52"/>
        <v>0</v>
      </c>
      <c r="M836" s="7">
        <f t="shared" si="53"/>
        <v>1</v>
      </c>
      <c r="N836" s="7">
        <f t="shared" si="54"/>
        <v>0.5</v>
      </c>
      <c r="O836" s="7">
        <f t="shared" si="55"/>
        <v>-0.69314718055994529</v>
      </c>
    </row>
    <row r="837" spans="12:15" x14ac:dyDescent="0.15">
      <c r="L837" s="7">
        <f t="shared" si="52"/>
        <v>0</v>
      </c>
      <c r="M837" s="7">
        <f t="shared" si="53"/>
        <v>1</v>
      </c>
      <c r="N837" s="7">
        <f t="shared" si="54"/>
        <v>0.5</v>
      </c>
      <c r="O837" s="7">
        <f t="shared" si="55"/>
        <v>-0.69314718055994529</v>
      </c>
    </row>
    <row r="838" spans="12:15" x14ac:dyDescent="0.15">
      <c r="L838" s="7">
        <f t="shared" si="52"/>
        <v>0</v>
      </c>
      <c r="M838" s="7">
        <f t="shared" si="53"/>
        <v>1</v>
      </c>
      <c r="N838" s="7">
        <f t="shared" si="54"/>
        <v>0.5</v>
      </c>
      <c r="O838" s="7">
        <f t="shared" si="55"/>
        <v>-0.69314718055994529</v>
      </c>
    </row>
    <row r="839" spans="12:15" x14ac:dyDescent="0.15">
      <c r="L839" s="7">
        <f t="shared" si="52"/>
        <v>0</v>
      </c>
      <c r="M839" s="7">
        <f t="shared" si="53"/>
        <v>1</v>
      </c>
      <c r="N839" s="7">
        <f t="shared" si="54"/>
        <v>0.5</v>
      </c>
      <c r="O839" s="7">
        <f t="shared" si="55"/>
        <v>-0.69314718055994529</v>
      </c>
    </row>
    <row r="840" spans="12:15" x14ac:dyDescent="0.15">
      <c r="L840" s="7">
        <f t="shared" si="52"/>
        <v>0</v>
      </c>
      <c r="M840" s="7">
        <f t="shared" si="53"/>
        <v>1</v>
      </c>
      <c r="N840" s="7">
        <f t="shared" si="54"/>
        <v>0.5</v>
      </c>
      <c r="O840" s="7">
        <f t="shared" si="55"/>
        <v>-0.69314718055994529</v>
      </c>
    </row>
    <row r="841" spans="12:15" x14ac:dyDescent="0.15">
      <c r="L841" s="7">
        <f t="shared" si="52"/>
        <v>0</v>
      </c>
      <c r="M841" s="7">
        <f t="shared" si="53"/>
        <v>1</v>
      </c>
      <c r="N841" s="7">
        <f t="shared" si="54"/>
        <v>0.5</v>
      </c>
      <c r="O841" s="7">
        <f t="shared" si="55"/>
        <v>-0.69314718055994529</v>
      </c>
    </row>
    <row r="842" spans="12:15" x14ac:dyDescent="0.15">
      <c r="L842" s="7">
        <f t="shared" si="52"/>
        <v>0</v>
      </c>
      <c r="M842" s="7">
        <f t="shared" si="53"/>
        <v>1</v>
      </c>
      <c r="N842" s="7">
        <f t="shared" si="54"/>
        <v>0.5</v>
      </c>
      <c r="O842" s="7">
        <f t="shared" si="55"/>
        <v>-0.69314718055994529</v>
      </c>
    </row>
    <row r="843" spans="12:15" x14ac:dyDescent="0.15">
      <c r="L843" s="7">
        <f t="shared" si="52"/>
        <v>0</v>
      </c>
      <c r="M843" s="7">
        <f t="shared" si="53"/>
        <v>1</v>
      </c>
      <c r="N843" s="7">
        <f t="shared" si="54"/>
        <v>0.5</v>
      </c>
      <c r="O843" s="7">
        <f t="shared" si="55"/>
        <v>-0.69314718055994529</v>
      </c>
    </row>
    <row r="844" spans="12:15" x14ac:dyDescent="0.15">
      <c r="L844" s="7">
        <f t="shared" si="52"/>
        <v>0</v>
      </c>
      <c r="M844" s="7">
        <f t="shared" si="53"/>
        <v>1</v>
      </c>
      <c r="N844" s="7">
        <f t="shared" si="54"/>
        <v>0.5</v>
      </c>
      <c r="O844" s="7">
        <f t="shared" si="55"/>
        <v>-0.69314718055994529</v>
      </c>
    </row>
    <row r="845" spans="12:15" x14ac:dyDescent="0.15">
      <c r="L845" s="7">
        <f t="shared" si="52"/>
        <v>0</v>
      </c>
      <c r="M845" s="7">
        <f t="shared" si="53"/>
        <v>1</v>
      </c>
      <c r="N845" s="7">
        <f t="shared" si="54"/>
        <v>0.5</v>
      </c>
      <c r="O845" s="7">
        <f t="shared" si="55"/>
        <v>-0.69314718055994529</v>
      </c>
    </row>
    <row r="846" spans="12:15" x14ac:dyDescent="0.15">
      <c r="L846" s="7">
        <f t="shared" si="52"/>
        <v>0</v>
      </c>
      <c r="M846" s="7">
        <f t="shared" si="53"/>
        <v>1</v>
      </c>
      <c r="N846" s="7">
        <f t="shared" si="54"/>
        <v>0.5</v>
      </c>
      <c r="O846" s="7">
        <f t="shared" si="55"/>
        <v>-0.69314718055994529</v>
      </c>
    </row>
    <row r="847" spans="12:15" x14ac:dyDescent="0.15">
      <c r="L847" s="7">
        <f t="shared" si="52"/>
        <v>0</v>
      </c>
      <c r="M847" s="7">
        <f t="shared" si="53"/>
        <v>1</v>
      </c>
      <c r="N847" s="7">
        <f t="shared" si="54"/>
        <v>0.5</v>
      </c>
      <c r="O847" s="7">
        <f t="shared" si="55"/>
        <v>-0.69314718055994529</v>
      </c>
    </row>
    <row r="848" spans="12:15" x14ac:dyDescent="0.15">
      <c r="L848" s="7">
        <f t="shared" si="52"/>
        <v>0</v>
      </c>
      <c r="M848" s="7">
        <f t="shared" si="53"/>
        <v>1</v>
      </c>
      <c r="N848" s="7">
        <f t="shared" si="54"/>
        <v>0.5</v>
      </c>
      <c r="O848" s="7">
        <f t="shared" si="55"/>
        <v>-0.69314718055994529</v>
      </c>
    </row>
    <row r="849" spans="12:15" x14ac:dyDescent="0.15">
      <c r="L849" s="7">
        <f t="shared" si="52"/>
        <v>0</v>
      </c>
      <c r="M849" s="7">
        <f t="shared" si="53"/>
        <v>1</v>
      </c>
      <c r="N849" s="7">
        <f t="shared" si="54"/>
        <v>0.5</v>
      </c>
      <c r="O849" s="7">
        <f t="shared" si="55"/>
        <v>-0.69314718055994529</v>
      </c>
    </row>
    <row r="850" spans="12:15" x14ac:dyDescent="0.15">
      <c r="L850" s="7">
        <f t="shared" si="52"/>
        <v>0</v>
      </c>
      <c r="M850" s="7">
        <f t="shared" si="53"/>
        <v>1</v>
      </c>
      <c r="N850" s="7">
        <f t="shared" si="54"/>
        <v>0.5</v>
      </c>
      <c r="O850" s="7">
        <f t="shared" si="55"/>
        <v>-0.69314718055994529</v>
      </c>
    </row>
    <row r="851" spans="12:15" x14ac:dyDescent="0.15">
      <c r="L851" s="7">
        <f t="shared" si="52"/>
        <v>0</v>
      </c>
      <c r="M851" s="7">
        <f t="shared" si="53"/>
        <v>1</v>
      </c>
      <c r="N851" s="7">
        <f t="shared" si="54"/>
        <v>0.5</v>
      </c>
      <c r="O851" s="7">
        <f t="shared" si="55"/>
        <v>-0.69314718055994529</v>
      </c>
    </row>
    <row r="852" spans="12:15" x14ac:dyDescent="0.15">
      <c r="L852" s="7">
        <f t="shared" si="52"/>
        <v>0</v>
      </c>
      <c r="M852" s="7">
        <f t="shared" si="53"/>
        <v>1</v>
      </c>
      <c r="N852" s="7">
        <f t="shared" si="54"/>
        <v>0.5</v>
      </c>
      <c r="O852" s="7">
        <f t="shared" si="55"/>
        <v>-0.69314718055994529</v>
      </c>
    </row>
    <row r="853" spans="12:15" x14ac:dyDescent="0.15">
      <c r="L853" s="7">
        <f t="shared" si="52"/>
        <v>0</v>
      </c>
      <c r="M853" s="7">
        <f t="shared" si="53"/>
        <v>1</v>
      </c>
      <c r="N853" s="7">
        <f t="shared" si="54"/>
        <v>0.5</v>
      </c>
      <c r="O853" s="7">
        <f t="shared" si="55"/>
        <v>-0.69314718055994529</v>
      </c>
    </row>
    <row r="854" spans="12:15" x14ac:dyDescent="0.15">
      <c r="L854" s="7">
        <f t="shared" si="52"/>
        <v>0</v>
      </c>
      <c r="M854" s="7">
        <f t="shared" si="53"/>
        <v>1</v>
      </c>
      <c r="N854" s="7">
        <f t="shared" si="54"/>
        <v>0.5</v>
      </c>
      <c r="O854" s="7">
        <f t="shared" si="55"/>
        <v>-0.69314718055994529</v>
      </c>
    </row>
    <row r="855" spans="12:15" x14ac:dyDescent="0.15">
      <c r="L855" s="7">
        <f t="shared" si="52"/>
        <v>0</v>
      </c>
      <c r="M855" s="7">
        <f t="shared" si="53"/>
        <v>1</v>
      </c>
      <c r="N855" s="7">
        <f t="shared" si="54"/>
        <v>0.5</v>
      </c>
      <c r="O855" s="7">
        <f t="shared" si="55"/>
        <v>-0.69314718055994529</v>
      </c>
    </row>
    <row r="856" spans="12:15" x14ac:dyDescent="0.15">
      <c r="L856" s="7">
        <f t="shared" si="52"/>
        <v>0</v>
      </c>
      <c r="M856" s="7">
        <f t="shared" si="53"/>
        <v>1</v>
      </c>
      <c r="N856" s="7">
        <f t="shared" si="54"/>
        <v>0.5</v>
      </c>
      <c r="O856" s="7">
        <f t="shared" si="55"/>
        <v>-0.69314718055994529</v>
      </c>
    </row>
    <row r="857" spans="12:15" x14ac:dyDescent="0.15">
      <c r="L857" s="7">
        <f t="shared" si="52"/>
        <v>0</v>
      </c>
      <c r="M857" s="7">
        <f t="shared" si="53"/>
        <v>1</v>
      </c>
      <c r="N857" s="7">
        <f t="shared" si="54"/>
        <v>0.5</v>
      </c>
      <c r="O857" s="7">
        <f t="shared" si="55"/>
        <v>-0.69314718055994529</v>
      </c>
    </row>
    <row r="858" spans="12:15" x14ac:dyDescent="0.15">
      <c r="L858" s="7">
        <f t="shared" si="52"/>
        <v>0</v>
      </c>
      <c r="M858" s="7">
        <f t="shared" si="53"/>
        <v>1</v>
      </c>
      <c r="N858" s="7">
        <f t="shared" si="54"/>
        <v>0.5</v>
      </c>
      <c r="O858" s="7">
        <f t="shared" si="55"/>
        <v>-0.69314718055994529</v>
      </c>
    </row>
    <row r="859" spans="12:15" x14ac:dyDescent="0.15">
      <c r="L859" s="7">
        <f t="shared" si="52"/>
        <v>0</v>
      </c>
      <c r="M859" s="7">
        <f t="shared" si="53"/>
        <v>1</v>
      </c>
      <c r="N859" s="7">
        <f t="shared" si="54"/>
        <v>0.5</v>
      </c>
      <c r="O859" s="7">
        <f t="shared" si="55"/>
        <v>-0.69314718055994529</v>
      </c>
    </row>
    <row r="860" spans="12:15" x14ac:dyDescent="0.15">
      <c r="L860" s="7">
        <f t="shared" si="52"/>
        <v>0</v>
      </c>
      <c r="M860" s="7">
        <f t="shared" si="53"/>
        <v>1</v>
      </c>
      <c r="N860" s="7">
        <f t="shared" si="54"/>
        <v>0.5</v>
      </c>
      <c r="O860" s="7">
        <f t="shared" si="55"/>
        <v>-0.69314718055994529</v>
      </c>
    </row>
    <row r="861" spans="12:15" x14ac:dyDescent="0.15">
      <c r="L861" s="7">
        <f t="shared" si="52"/>
        <v>0</v>
      </c>
      <c r="M861" s="7">
        <f t="shared" si="53"/>
        <v>1</v>
      </c>
      <c r="N861" s="7">
        <f t="shared" si="54"/>
        <v>0.5</v>
      </c>
      <c r="O861" s="7">
        <f t="shared" si="55"/>
        <v>-0.69314718055994529</v>
      </c>
    </row>
    <row r="862" spans="12:15" x14ac:dyDescent="0.15">
      <c r="L862" s="7">
        <f t="shared" si="52"/>
        <v>0</v>
      </c>
      <c r="M862" s="7">
        <f t="shared" si="53"/>
        <v>1</v>
      </c>
      <c r="N862" s="7">
        <f t="shared" si="54"/>
        <v>0.5</v>
      </c>
      <c r="O862" s="7">
        <f t="shared" si="55"/>
        <v>-0.69314718055994529</v>
      </c>
    </row>
    <row r="863" spans="12:15" x14ac:dyDescent="0.15">
      <c r="L863" s="7">
        <f t="shared" si="52"/>
        <v>0</v>
      </c>
      <c r="M863" s="7">
        <f t="shared" si="53"/>
        <v>1</v>
      </c>
      <c r="N863" s="7">
        <f t="shared" si="54"/>
        <v>0.5</v>
      </c>
      <c r="O863" s="7">
        <f t="shared" si="55"/>
        <v>-0.69314718055994529</v>
      </c>
    </row>
    <row r="864" spans="12:15" x14ac:dyDescent="0.15">
      <c r="L864" s="7">
        <f t="shared" si="52"/>
        <v>0</v>
      </c>
      <c r="M864" s="7">
        <f t="shared" si="53"/>
        <v>1</v>
      </c>
      <c r="N864" s="7">
        <f t="shared" si="54"/>
        <v>0.5</v>
      </c>
      <c r="O864" s="7">
        <f t="shared" si="55"/>
        <v>-0.69314718055994529</v>
      </c>
    </row>
    <row r="865" spans="12:15" x14ac:dyDescent="0.15">
      <c r="L865" s="7">
        <f t="shared" si="52"/>
        <v>0</v>
      </c>
      <c r="M865" s="7">
        <f t="shared" si="53"/>
        <v>1</v>
      </c>
      <c r="N865" s="7">
        <f t="shared" si="54"/>
        <v>0.5</v>
      </c>
      <c r="O865" s="7">
        <f t="shared" si="55"/>
        <v>-0.69314718055994529</v>
      </c>
    </row>
    <row r="866" spans="12:15" x14ac:dyDescent="0.15">
      <c r="L866" s="7">
        <f t="shared" si="52"/>
        <v>0</v>
      </c>
      <c r="M866" s="7">
        <f t="shared" si="53"/>
        <v>1</v>
      </c>
      <c r="N866" s="7">
        <f t="shared" si="54"/>
        <v>0.5</v>
      </c>
      <c r="O866" s="7">
        <f t="shared" si="55"/>
        <v>-0.69314718055994529</v>
      </c>
    </row>
    <row r="867" spans="12:15" x14ac:dyDescent="0.15">
      <c r="L867" s="7">
        <f t="shared" si="52"/>
        <v>0</v>
      </c>
      <c r="M867" s="7">
        <f t="shared" si="53"/>
        <v>1</v>
      </c>
      <c r="N867" s="7">
        <f t="shared" si="54"/>
        <v>0.5</v>
      </c>
      <c r="O867" s="7">
        <f t="shared" si="55"/>
        <v>-0.69314718055994529</v>
      </c>
    </row>
    <row r="868" spans="12:15" x14ac:dyDescent="0.15">
      <c r="L868" s="7">
        <f t="shared" si="52"/>
        <v>0</v>
      </c>
      <c r="M868" s="7">
        <f t="shared" si="53"/>
        <v>1</v>
      </c>
      <c r="N868" s="7">
        <f t="shared" si="54"/>
        <v>0.5</v>
      </c>
      <c r="O868" s="7">
        <f t="shared" si="55"/>
        <v>-0.69314718055994529</v>
      </c>
    </row>
    <row r="869" spans="12:15" x14ac:dyDescent="0.15">
      <c r="L869" s="7">
        <f t="shared" si="52"/>
        <v>0</v>
      </c>
      <c r="M869" s="7">
        <f t="shared" si="53"/>
        <v>1</v>
      </c>
      <c r="N869" s="7">
        <f t="shared" si="54"/>
        <v>0.5</v>
      </c>
      <c r="O869" s="7">
        <f t="shared" si="55"/>
        <v>-0.69314718055994529</v>
      </c>
    </row>
    <row r="870" spans="12:15" x14ac:dyDescent="0.15">
      <c r="L870" s="7">
        <f t="shared" si="52"/>
        <v>0</v>
      </c>
      <c r="M870" s="7">
        <f t="shared" si="53"/>
        <v>1</v>
      </c>
      <c r="N870" s="7">
        <f t="shared" si="54"/>
        <v>0.5</v>
      </c>
      <c r="O870" s="7">
        <f t="shared" si="55"/>
        <v>-0.69314718055994529</v>
      </c>
    </row>
    <row r="871" spans="12:15" x14ac:dyDescent="0.15">
      <c r="L871" s="7">
        <f t="shared" si="52"/>
        <v>0</v>
      </c>
      <c r="M871" s="7">
        <f t="shared" si="53"/>
        <v>1</v>
      </c>
      <c r="N871" s="7">
        <f t="shared" si="54"/>
        <v>0.5</v>
      </c>
      <c r="O871" s="7">
        <f t="shared" si="55"/>
        <v>-0.69314718055994529</v>
      </c>
    </row>
    <row r="872" spans="12:15" x14ac:dyDescent="0.15">
      <c r="L872" s="7">
        <f t="shared" si="52"/>
        <v>0</v>
      </c>
      <c r="M872" s="7">
        <f t="shared" si="53"/>
        <v>1</v>
      </c>
      <c r="N872" s="7">
        <f t="shared" si="54"/>
        <v>0.5</v>
      </c>
      <c r="O872" s="7">
        <f t="shared" si="55"/>
        <v>-0.69314718055994529</v>
      </c>
    </row>
    <row r="873" spans="12:15" x14ac:dyDescent="0.15">
      <c r="L873" s="7">
        <f t="shared" si="52"/>
        <v>0</v>
      </c>
      <c r="M873" s="7">
        <f t="shared" si="53"/>
        <v>1</v>
      </c>
      <c r="N873" s="7">
        <f t="shared" si="54"/>
        <v>0.5</v>
      </c>
      <c r="O873" s="7">
        <f t="shared" si="55"/>
        <v>-0.69314718055994529</v>
      </c>
    </row>
    <row r="874" spans="12:15" x14ac:dyDescent="0.15">
      <c r="L874" s="7">
        <f t="shared" si="52"/>
        <v>0</v>
      </c>
      <c r="M874" s="7">
        <f t="shared" si="53"/>
        <v>1</v>
      </c>
      <c r="N874" s="7">
        <f t="shared" si="54"/>
        <v>0.5</v>
      </c>
      <c r="O874" s="7">
        <f t="shared" si="55"/>
        <v>-0.69314718055994529</v>
      </c>
    </row>
    <row r="875" spans="12:15" x14ac:dyDescent="0.15">
      <c r="L875" s="7">
        <f t="shared" si="52"/>
        <v>0</v>
      </c>
      <c r="M875" s="7">
        <f t="shared" si="53"/>
        <v>1</v>
      </c>
      <c r="N875" s="7">
        <f t="shared" si="54"/>
        <v>0.5</v>
      </c>
      <c r="O875" s="7">
        <f t="shared" si="55"/>
        <v>-0.69314718055994529</v>
      </c>
    </row>
    <row r="876" spans="12:15" x14ac:dyDescent="0.15">
      <c r="L876" s="7">
        <f t="shared" si="52"/>
        <v>0</v>
      </c>
      <c r="M876" s="7">
        <f t="shared" si="53"/>
        <v>1</v>
      </c>
      <c r="N876" s="7">
        <f t="shared" si="54"/>
        <v>0.5</v>
      </c>
      <c r="O876" s="7">
        <f t="shared" si="55"/>
        <v>-0.69314718055994529</v>
      </c>
    </row>
    <row r="877" spans="12:15" x14ac:dyDescent="0.15">
      <c r="L877" s="7">
        <f t="shared" si="52"/>
        <v>0</v>
      </c>
      <c r="M877" s="7">
        <f t="shared" si="53"/>
        <v>1</v>
      </c>
      <c r="N877" s="7">
        <f t="shared" si="54"/>
        <v>0.5</v>
      </c>
      <c r="O877" s="7">
        <f t="shared" si="55"/>
        <v>-0.69314718055994529</v>
      </c>
    </row>
    <row r="878" spans="12:15" x14ac:dyDescent="0.15">
      <c r="L878" s="7">
        <f t="shared" si="52"/>
        <v>0</v>
      </c>
      <c r="M878" s="7">
        <f t="shared" si="53"/>
        <v>1</v>
      </c>
      <c r="N878" s="7">
        <f t="shared" si="54"/>
        <v>0.5</v>
      </c>
      <c r="O878" s="7">
        <f t="shared" si="55"/>
        <v>-0.69314718055994529</v>
      </c>
    </row>
    <row r="879" spans="12:15" x14ac:dyDescent="0.15">
      <c r="L879" s="7">
        <f t="shared" si="52"/>
        <v>0</v>
      </c>
      <c r="M879" s="7">
        <f t="shared" si="53"/>
        <v>1</v>
      </c>
      <c r="N879" s="7">
        <f t="shared" si="54"/>
        <v>0.5</v>
      </c>
      <c r="O879" s="7">
        <f t="shared" si="55"/>
        <v>-0.69314718055994529</v>
      </c>
    </row>
    <row r="880" spans="12:15" x14ac:dyDescent="0.15">
      <c r="L880" s="7">
        <f t="shared" si="52"/>
        <v>0</v>
      </c>
      <c r="M880" s="7">
        <f t="shared" si="53"/>
        <v>1</v>
      </c>
      <c r="N880" s="7">
        <f t="shared" si="54"/>
        <v>0.5</v>
      </c>
      <c r="O880" s="7">
        <f t="shared" si="55"/>
        <v>-0.69314718055994529</v>
      </c>
    </row>
    <row r="881" spans="12:15" x14ac:dyDescent="0.15">
      <c r="L881" s="7">
        <f t="shared" si="52"/>
        <v>0</v>
      </c>
      <c r="M881" s="7">
        <f t="shared" si="53"/>
        <v>1</v>
      </c>
      <c r="N881" s="7">
        <f t="shared" si="54"/>
        <v>0.5</v>
      </c>
      <c r="O881" s="7">
        <f t="shared" si="55"/>
        <v>-0.69314718055994529</v>
      </c>
    </row>
    <row r="882" spans="12:15" x14ac:dyDescent="0.15">
      <c r="L882" s="7">
        <f t="shared" si="52"/>
        <v>0</v>
      </c>
      <c r="M882" s="7">
        <f t="shared" si="53"/>
        <v>1</v>
      </c>
      <c r="N882" s="7">
        <f t="shared" si="54"/>
        <v>0.5</v>
      </c>
      <c r="O882" s="7">
        <f t="shared" si="55"/>
        <v>-0.69314718055994529</v>
      </c>
    </row>
    <row r="883" spans="12:15" x14ac:dyDescent="0.15">
      <c r="L883" s="7">
        <f t="shared" si="52"/>
        <v>0</v>
      </c>
      <c r="M883" s="7">
        <f t="shared" si="53"/>
        <v>1</v>
      </c>
      <c r="N883" s="7">
        <f t="shared" si="54"/>
        <v>0.5</v>
      </c>
      <c r="O883" s="7">
        <f t="shared" si="55"/>
        <v>-0.69314718055994529</v>
      </c>
    </row>
    <row r="884" spans="12:15" x14ac:dyDescent="0.15">
      <c r="L884" s="7">
        <f t="shared" si="52"/>
        <v>0</v>
      </c>
      <c r="M884" s="7">
        <f t="shared" si="53"/>
        <v>1</v>
      </c>
      <c r="N884" s="7">
        <f t="shared" si="54"/>
        <v>0.5</v>
      </c>
      <c r="O884" s="7">
        <f t="shared" si="55"/>
        <v>-0.69314718055994529</v>
      </c>
    </row>
    <row r="885" spans="12:15" x14ac:dyDescent="0.15">
      <c r="L885" s="7">
        <f t="shared" si="52"/>
        <v>0</v>
      </c>
      <c r="M885" s="7">
        <f t="shared" si="53"/>
        <v>1</v>
      </c>
      <c r="N885" s="7">
        <f t="shared" si="54"/>
        <v>0.5</v>
      </c>
      <c r="O885" s="7">
        <f t="shared" si="55"/>
        <v>-0.69314718055994529</v>
      </c>
    </row>
    <row r="886" spans="12:15" x14ac:dyDescent="0.15">
      <c r="L886" s="7">
        <f t="shared" si="52"/>
        <v>0</v>
      </c>
      <c r="M886" s="7">
        <f t="shared" si="53"/>
        <v>1</v>
      </c>
      <c r="N886" s="7">
        <f t="shared" si="54"/>
        <v>0.5</v>
      </c>
      <c r="O886" s="7">
        <f t="shared" si="55"/>
        <v>-0.69314718055994529</v>
      </c>
    </row>
    <row r="887" spans="12:15" x14ac:dyDescent="0.15">
      <c r="L887" s="7">
        <f t="shared" si="52"/>
        <v>0</v>
      </c>
      <c r="M887" s="7">
        <f t="shared" si="53"/>
        <v>1</v>
      </c>
      <c r="N887" s="7">
        <f t="shared" si="54"/>
        <v>0.5</v>
      </c>
      <c r="O887" s="7">
        <f t="shared" si="55"/>
        <v>-0.69314718055994529</v>
      </c>
    </row>
    <row r="888" spans="12:15" x14ac:dyDescent="0.15">
      <c r="L888" s="7">
        <f t="shared" si="52"/>
        <v>0</v>
      </c>
      <c r="M888" s="7">
        <f t="shared" si="53"/>
        <v>1</v>
      </c>
      <c r="N888" s="7">
        <f t="shared" si="54"/>
        <v>0.5</v>
      </c>
      <c r="O888" s="7">
        <f t="shared" si="55"/>
        <v>-0.69314718055994529</v>
      </c>
    </row>
    <row r="889" spans="12:15" x14ac:dyDescent="0.15">
      <c r="L889" s="7">
        <f t="shared" si="52"/>
        <v>0</v>
      </c>
      <c r="M889" s="7">
        <f t="shared" si="53"/>
        <v>1</v>
      </c>
      <c r="N889" s="7">
        <f t="shared" si="54"/>
        <v>0.5</v>
      </c>
      <c r="O889" s="7">
        <f t="shared" si="55"/>
        <v>-0.69314718055994529</v>
      </c>
    </row>
    <row r="890" spans="12:15" x14ac:dyDescent="0.15">
      <c r="L890" s="7">
        <f t="shared" si="52"/>
        <v>0</v>
      </c>
      <c r="M890" s="7">
        <f t="shared" si="53"/>
        <v>1</v>
      </c>
      <c r="N890" s="7">
        <f t="shared" si="54"/>
        <v>0.5</v>
      </c>
      <c r="O890" s="7">
        <f t="shared" si="55"/>
        <v>-0.69314718055994529</v>
      </c>
    </row>
    <row r="891" spans="12:15" x14ac:dyDescent="0.15">
      <c r="L891" s="7">
        <f t="shared" si="52"/>
        <v>0</v>
      </c>
      <c r="M891" s="7">
        <f t="shared" si="53"/>
        <v>1</v>
      </c>
      <c r="N891" s="7">
        <f t="shared" si="54"/>
        <v>0.5</v>
      </c>
      <c r="O891" s="7">
        <f t="shared" si="55"/>
        <v>-0.69314718055994529</v>
      </c>
    </row>
    <row r="892" spans="12:15" x14ac:dyDescent="0.15">
      <c r="L892" s="7">
        <f t="shared" si="52"/>
        <v>0</v>
      </c>
      <c r="M892" s="7">
        <f t="shared" si="53"/>
        <v>1</v>
      </c>
      <c r="N892" s="7">
        <f t="shared" si="54"/>
        <v>0.5</v>
      </c>
      <c r="O892" s="7">
        <f t="shared" si="55"/>
        <v>-0.69314718055994529</v>
      </c>
    </row>
    <row r="893" spans="12:15" x14ac:dyDescent="0.15">
      <c r="L893" s="7">
        <f t="shared" si="52"/>
        <v>0</v>
      </c>
      <c r="M893" s="7">
        <f t="shared" si="53"/>
        <v>1</v>
      </c>
      <c r="N893" s="7">
        <f t="shared" si="54"/>
        <v>0.5</v>
      </c>
      <c r="O893" s="7">
        <f t="shared" si="55"/>
        <v>-0.69314718055994529</v>
      </c>
    </row>
    <row r="894" spans="12:15" x14ac:dyDescent="0.15">
      <c r="L894" s="7">
        <f t="shared" si="52"/>
        <v>0</v>
      </c>
      <c r="M894" s="7">
        <f t="shared" si="53"/>
        <v>1</v>
      </c>
      <c r="N894" s="7">
        <f t="shared" si="54"/>
        <v>0.5</v>
      </c>
      <c r="O894" s="7">
        <f t="shared" si="55"/>
        <v>-0.69314718055994529</v>
      </c>
    </row>
    <row r="895" spans="12:15" x14ac:dyDescent="0.15">
      <c r="L895" s="7">
        <f t="shared" si="52"/>
        <v>0</v>
      </c>
      <c r="M895" s="7">
        <f t="shared" si="53"/>
        <v>1</v>
      </c>
      <c r="N895" s="7">
        <f t="shared" si="54"/>
        <v>0.5</v>
      </c>
      <c r="O895" s="7">
        <f t="shared" si="55"/>
        <v>-0.69314718055994529</v>
      </c>
    </row>
    <row r="896" spans="12:15" x14ac:dyDescent="0.15">
      <c r="L896" s="7">
        <f t="shared" si="52"/>
        <v>0</v>
      </c>
      <c r="M896" s="7">
        <f t="shared" si="53"/>
        <v>1</v>
      </c>
      <c r="N896" s="7">
        <f t="shared" si="54"/>
        <v>0.5</v>
      </c>
      <c r="O896" s="7">
        <f t="shared" si="55"/>
        <v>-0.69314718055994529</v>
      </c>
    </row>
    <row r="897" spans="12:15" x14ac:dyDescent="0.15">
      <c r="L897" s="7">
        <f t="shared" si="52"/>
        <v>0</v>
      </c>
      <c r="M897" s="7">
        <f t="shared" si="53"/>
        <v>1</v>
      </c>
      <c r="N897" s="7">
        <f t="shared" si="54"/>
        <v>0.5</v>
      </c>
      <c r="O897" s="7">
        <f t="shared" si="55"/>
        <v>-0.69314718055994529</v>
      </c>
    </row>
    <row r="898" spans="12:15" x14ac:dyDescent="0.15">
      <c r="L898" s="7">
        <f t="shared" si="52"/>
        <v>0</v>
      </c>
      <c r="M898" s="7">
        <f t="shared" si="53"/>
        <v>1</v>
      </c>
      <c r="N898" s="7">
        <f t="shared" si="54"/>
        <v>0.5</v>
      </c>
      <c r="O898" s="7">
        <f t="shared" si="55"/>
        <v>-0.69314718055994529</v>
      </c>
    </row>
    <row r="899" spans="12:15" x14ac:dyDescent="0.15">
      <c r="L899" s="7">
        <f t="shared" ref="L899:L962" si="56">$Q$1 + $Q$2*B899+$Q$3*C899+ $Q$4*D899+$Q$5*E899+$Q$6*F899+$Q$7*G899+H899*$Q$8+I899*$Q$9+J899*$Q$10+K899*$Q$11</f>
        <v>0</v>
      </c>
      <c r="M899" s="7">
        <f t="shared" ref="M899:M962" si="57">EXP(L899)</f>
        <v>1</v>
      </c>
      <c r="N899" s="7">
        <f t="shared" ref="N899:N962" si="58">1/(1+M899)</f>
        <v>0.5</v>
      </c>
      <c r="O899" s="7">
        <f t="shared" ref="O899:O962" si="59">A899*LN(N899)+(1-A899)*LN(1-N899)</f>
        <v>-0.69314718055994529</v>
      </c>
    </row>
    <row r="900" spans="12:15" x14ac:dyDescent="0.15">
      <c r="L900" s="7">
        <f t="shared" si="56"/>
        <v>0</v>
      </c>
      <c r="M900" s="7">
        <f t="shared" si="57"/>
        <v>1</v>
      </c>
      <c r="N900" s="7">
        <f t="shared" si="58"/>
        <v>0.5</v>
      </c>
      <c r="O900" s="7">
        <f t="shared" si="59"/>
        <v>-0.69314718055994529</v>
      </c>
    </row>
    <row r="901" spans="12:15" x14ac:dyDescent="0.15">
      <c r="L901" s="7">
        <f t="shared" si="56"/>
        <v>0</v>
      </c>
      <c r="M901" s="7">
        <f t="shared" si="57"/>
        <v>1</v>
      </c>
      <c r="N901" s="7">
        <f t="shared" si="58"/>
        <v>0.5</v>
      </c>
      <c r="O901" s="7">
        <f t="shared" si="59"/>
        <v>-0.69314718055994529</v>
      </c>
    </row>
    <row r="902" spans="12:15" x14ac:dyDescent="0.15">
      <c r="L902" s="7">
        <f t="shared" si="56"/>
        <v>0</v>
      </c>
      <c r="M902" s="7">
        <f t="shared" si="57"/>
        <v>1</v>
      </c>
      <c r="N902" s="7">
        <f t="shared" si="58"/>
        <v>0.5</v>
      </c>
      <c r="O902" s="7">
        <f t="shared" si="59"/>
        <v>-0.69314718055994529</v>
      </c>
    </row>
    <row r="903" spans="12:15" x14ac:dyDescent="0.15">
      <c r="L903" s="7">
        <f t="shared" si="56"/>
        <v>0</v>
      </c>
      <c r="M903" s="7">
        <f t="shared" si="57"/>
        <v>1</v>
      </c>
      <c r="N903" s="7">
        <f t="shared" si="58"/>
        <v>0.5</v>
      </c>
      <c r="O903" s="7">
        <f t="shared" si="59"/>
        <v>-0.69314718055994529</v>
      </c>
    </row>
    <row r="904" spans="12:15" x14ac:dyDescent="0.15">
      <c r="L904" s="7">
        <f t="shared" si="56"/>
        <v>0</v>
      </c>
      <c r="M904" s="7">
        <f t="shared" si="57"/>
        <v>1</v>
      </c>
      <c r="N904" s="7">
        <f t="shared" si="58"/>
        <v>0.5</v>
      </c>
      <c r="O904" s="7">
        <f t="shared" si="59"/>
        <v>-0.69314718055994529</v>
      </c>
    </row>
    <row r="905" spans="12:15" x14ac:dyDescent="0.15">
      <c r="L905" s="7">
        <f t="shared" si="56"/>
        <v>0</v>
      </c>
      <c r="M905" s="7">
        <f t="shared" si="57"/>
        <v>1</v>
      </c>
      <c r="N905" s="7">
        <f t="shared" si="58"/>
        <v>0.5</v>
      </c>
      <c r="O905" s="7">
        <f t="shared" si="59"/>
        <v>-0.69314718055994529</v>
      </c>
    </row>
    <row r="906" spans="12:15" x14ac:dyDescent="0.15">
      <c r="L906" s="7">
        <f t="shared" si="56"/>
        <v>0</v>
      </c>
      <c r="M906" s="7">
        <f t="shared" si="57"/>
        <v>1</v>
      </c>
      <c r="N906" s="7">
        <f t="shared" si="58"/>
        <v>0.5</v>
      </c>
      <c r="O906" s="7">
        <f t="shared" si="59"/>
        <v>-0.69314718055994529</v>
      </c>
    </row>
    <row r="907" spans="12:15" x14ac:dyDescent="0.15">
      <c r="L907" s="7">
        <f t="shared" si="56"/>
        <v>0</v>
      </c>
      <c r="M907" s="7">
        <f t="shared" si="57"/>
        <v>1</v>
      </c>
      <c r="N907" s="7">
        <f t="shared" si="58"/>
        <v>0.5</v>
      </c>
      <c r="O907" s="7">
        <f t="shared" si="59"/>
        <v>-0.69314718055994529</v>
      </c>
    </row>
    <row r="908" spans="12:15" x14ac:dyDescent="0.15">
      <c r="L908" s="7">
        <f t="shared" si="56"/>
        <v>0</v>
      </c>
      <c r="M908" s="7">
        <f t="shared" si="57"/>
        <v>1</v>
      </c>
      <c r="N908" s="7">
        <f t="shared" si="58"/>
        <v>0.5</v>
      </c>
      <c r="O908" s="7">
        <f t="shared" si="59"/>
        <v>-0.69314718055994529</v>
      </c>
    </row>
    <row r="909" spans="12:15" x14ac:dyDescent="0.15">
      <c r="L909" s="7">
        <f t="shared" si="56"/>
        <v>0</v>
      </c>
      <c r="M909" s="7">
        <f t="shared" si="57"/>
        <v>1</v>
      </c>
      <c r="N909" s="7">
        <f t="shared" si="58"/>
        <v>0.5</v>
      </c>
      <c r="O909" s="7">
        <f t="shared" si="59"/>
        <v>-0.69314718055994529</v>
      </c>
    </row>
    <row r="910" spans="12:15" x14ac:dyDescent="0.15">
      <c r="L910" s="7">
        <f t="shared" si="56"/>
        <v>0</v>
      </c>
      <c r="M910" s="7">
        <f t="shared" si="57"/>
        <v>1</v>
      </c>
      <c r="N910" s="7">
        <f t="shared" si="58"/>
        <v>0.5</v>
      </c>
      <c r="O910" s="7">
        <f t="shared" si="59"/>
        <v>-0.69314718055994529</v>
      </c>
    </row>
    <row r="911" spans="12:15" x14ac:dyDescent="0.15">
      <c r="L911" s="7">
        <f t="shared" si="56"/>
        <v>0</v>
      </c>
      <c r="M911" s="7">
        <f t="shared" si="57"/>
        <v>1</v>
      </c>
      <c r="N911" s="7">
        <f t="shared" si="58"/>
        <v>0.5</v>
      </c>
      <c r="O911" s="7">
        <f t="shared" si="59"/>
        <v>-0.69314718055994529</v>
      </c>
    </row>
    <row r="912" spans="12:15" x14ac:dyDescent="0.15">
      <c r="L912" s="7">
        <f t="shared" si="56"/>
        <v>0</v>
      </c>
      <c r="M912" s="7">
        <f t="shared" si="57"/>
        <v>1</v>
      </c>
      <c r="N912" s="7">
        <f t="shared" si="58"/>
        <v>0.5</v>
      </c>
      <c r="O912" s="7">
        <f t="shared" si="59"/>
        <v>-0.69314718055994529</v>
      </c>
    </row>
    <row r="913" spans="12:15" x14ac:dyDescent="0.15">
      <c r="L913" s="7">
        <f t="shared" si="56"/>
        <v>0</v>
      </c>
      <c r="M913" s="7">
        <f t="shared" si="57"/>
        <v>1</v>
      </c>
      <c r="N913" s="7">
        <f t="shared" si="58"/>
        <v>0.5</v>
      </c>
      <c r="O913" s="7">
        <f t="shared" si="59"/>
        <v>-0.69314718055994529</v>
      </c>
    </row>
    <row r="914" spans="12:15" x14ac:dyDescent="0.15">
      <c r="L914" s="7">
        <f t="shared" si="56"/>
        <v>0</v>
      </c>
      <c r="M914" s="7">
        <f t="shared" si="57"/>
        <v>1</v>
      </c>
      <c r="N914" s="7">
        <f t="shared" si="58"/>
        <v>0.5</v>
      </c>
      <c r="O914" s="7">
        <f t="shared" si="59"/>
        <v>-0.69314718055994529</v>
      </c>
    </row>
    <row r="915" spans="12:15" x14ac:dyDescent="0.15">
      <c r="L915" s="7">
        <f t="shared" si="56"/>
        <v>0</v>
      </c>
      <c r="M915" s="7">
        <f t="shared" si="57"/>
        <v>1</v>
      </c>
      <c r="N915" s="7">
        <f t="shared" si="58"/>
        <v>0.5</v>
      </c>
      <c r="O915" s="7">
        <f t="shared" si="59"/>
        <v>-0.69314718055994529</v>
      </c>
    </row>
    <row r="916" spans="12:15" x14ac:dyDescent="0.15">
      <c r="L916" s="7">
        <f t="shared" si="56"/>
        <v>0</v>
      </c>
      <c r="M916" s="7">
        <f t="shared" si="57"/>
        <v>1</v>
      </c>
      <c r="N916" s="7">
        <f t="shared" si="58"/>
        <v>0.5</v>
      </c>
      <c r="O916" s="7">
        <f t="shared" si="59"/>
        <v>-0.69314718055994529</v>
      </c>
    </row>
    <row r="917" spans="12:15" x14ac:dyDescent="0.15">
      <c r="L917" s="7">
        <f t="shared" si="56"/>
        <v>0</v>
      </c>
      <c r="M917" s="7">
        <f t="shared" si="57"/>
        <v>1</v>
      </c>
      <c r="N917" s="7">
        <f t="shared" si="58"/>
        <v>0.5</v>
      </c>
      <c r="O917" s="7">
        <f t="shared" si="59"/>
        <v>-0.69314718055994529</v>
      </c>
    </row>
    <row r="918" spans="12:15" x14ac:dyDescent="0.15">
      <c r="L918" s="7">
        <f t="shared" si="56"/>
        <v>0</v>
      </c>
      <c r="M918" s="7">
        <f t="shared" si="57"/>
        <v>1</v>
      </c>
      <c r="N918" s="7">
        <f t="shared" si="58"/>
        <v>0.5</v>
      </c>
      <c r="O918" s="7">
        <f t="shared" si="59"/>
        <v>-0.69314718055994529</v>
      </c>
    </row>
    <row r="919" spans="12:15" x14ac:dyDescent="0.15">
      <c r="L919" s="7">
        <f t="shared" si="56"/>
        <v>0</v>
      </c>
      <c r="M919" s="7">
        <f t="shared" si="57"/>
        <v>1</v>
      </c>
      <c r="N919" s="7">
        <f t="shared" si="58"/>
        <v>0.5</v>
      </c>
      <c r="O919" s="7">
        <f t="shared" si="59"/>
        <v>-0.69314718055994529</v>
      </c>
    </row>
    <row r="920" spans="12:15" x14ac:dyDescent="0.15">
      <c r="L920" s="7">
        <f t="shared" si="56"/>
        <v>0</v>
      </c>
      <c r="M920" s="7">
        <f t="shared" si="57"/>
        <v>1</v>
      </c>
      <c r="N920" s="7">
        <f t="shared" si="58"/>
        <v>0.5</v>
      </c>
      <c r="O920" s="7">
        <f t="shared" si="59"/>
        <v>-0.69314718055994529</v>
      </c>
    </row>
    <row r="921" spans="12:15" x14ac:dyDescent="0.15">
      <c r="L921" s="7">
        <f t="shared" si="56"/>
        <v>0</v>
      </c>
      <c r="M921" s="7">
        <f t="shared" si="57"/>
        <v>1</v>
      </c>
      <c r="N921" s="7">
        <f t="shared" si="58"/>
        <v>0.5</v>
      </c>
      <c r="O921" s="7">
        <f t="shared" si="59"/>
        <v>-0.69314718055994529</v>
      </c>
    </row>
    <row r="922" spans="12:15" x14ac:dyDescent="0.15">
      <c r="L922" s="7">
        <f t="shared" si="56"/>
        <v>0</v>
      </c>
      <c r="M922" s="7">
        <f t="shared" si="57"/>
        <v>1</v>
      </c>
      <c r="N922" s="7">
        <f t="shared" si="58"/>
        <v>0.5</v>
      </c>
      <c r="O922" s="7">
        <f t="shared" si="59"/>
        <v>-0.69314718055994529</v>
      </c>
    </row>
    <row r="923" spans="12:15" x14ac:dyDescent="0.15">
      <c r="L923" s="7">
        <f t="shared" si="56"/>
        <v>0</v>
      </c>
      <c r="M923" s="7">
        <f t="shared" si="57"/>
        <v>1</v>
      </c>
      <c r="N923" s="7">
        <f t="shared" si="58"/>
        <v>0.5</v>
      </c>
      <c r="O923" s="7">
        <f t="shared" si="59"/>
        <v>-0.69314718055994529</v>
      </c>
    </row>
    <row r="924" spans="12:15" x14ac:dyDescent="0.15">
      <c r="L924" s="7">
        <f t="shared" si="56"/>
        <v>0</v>
      </c>
      <c r="M924" s="7">
        <f t="shared" si="57"/>
        <v>1</v>
      </c>
      <c r="N924" s="7">
        <f t="shared" si="58"/>
        <v>0.5</v>
      </c>
      <c r="O924" s="7">
        <f t="shared" si="59"/>
        <v>-0.69314718055994529</v>
      </c>
    </row>
    <row r="925" spans="12:15" x14ac:dyDescent="0.15">
      <c r="L925" s="7">
        <f t="shared" si="56"/>
        <v>0</v>
      </c>
      <c r="M925" s="7">
        <f t="shared" si="57"/>
        <v>1</v>
      </c>
      <c r="N925" s="7">
        <f t="shared" si="58"/>
        <v>0.5</v>
      </c>
      <c r="O925" s="7">
        <f t="shared" si="59"/>
        <v>-0.69314718055994529</v>
      </c>
    </row>
    <row r="926" spans="12:15" x14ac:dyDescent="0.15">
      <c r="L926" s="7">
        <f t="shared" si="56"/>
        <v>0</v>
      </c>
      <c r="M926" s="7">
        <f t="shared" si="57"/>
        <v>1</v>
      </c>
      <c r="N926" s="7">
        <f t="shared" si="58"/>
        <v>0.5</v>
      </c>
      <c r="O926" s="7">
        <f t="shared" si="59"/>
        <v>-0.69314718055994529</v>
      </c>
    </row>
    <row r="927" spans="12:15" x14ac:dyDescent="0.15">
      <c r="L927" s="7">
        <f t="shared" si="56"/>
        <v>0</v>
      </c>
      <c r="M927" s="7">
        <f t="shared" si="57"/>
        <v>1</v>
      </c>
      <c r="N927" s="7">
        <f t="shared" si="58"/>
        <v>0.5</v>
      </c>
      <c r="O927" s="7">
        <f t="shared" si="59"/>
        <v>-0.69314718055994529</v>
      </c>
    </row>
    <row r="928" spans="12:15" x14ac:dyDescent="0.15">
      <c r="L928" s="7">
        <f t="shared" si="56"/>
        <v>0</v>
      </c>
      <c r="M928" s="7">
        <f t="shared" si="57"/>
        <v>1</v>
      </c>
      <c r="N928" s="7">
        <f t="shared" si="58"/>
        <v>0.5</v>
      </c>
      <c r="O928" s="7">
        <f t="shared" si="59"/>
        <v>-0.69314718055994529</v>
      </c>
    </row>
    <row r="929" spans="12:15" x14ac:dyDescent="0.15">
      <c r="L929" s="7">
        <f t="shared" si="56"/>
        <v>0</v>
      </c>
      <c r="M929" s="7">
        <f t="shared" si="57"/>
        <v>1</v>
      </c>
      <c r="N929" s="7">
        <f t="shared" si="58"/>
        <v>0.5</v>
      </c>
      <c r="O929" s="7">
        <f t="shared" si="59"/>
        <v>-0.69314718055994529</v>
      </c>
    </row>
    <row r="930" spans="12:15" x14ac:dyDescent="0.15">
      <c r="L930" s="7">
        <f t="shared" si="56"/>
        <v>0</v>
      </c>
      <c r="M930" s="7">
        <f t="shared" si="57"/>
        <v>1</v>
      </c>
      <c r="N930" s="7">
        <f t="shared" si="58"/>
        <v>0.5</v>
      </c>
      <c r="O930" s="7">
        <f t="shared" si="59"/>
        <v>-0.69314718055994529</v>
      </c>
    </row>
    <row r="931" spans="12:15" x14ac:dyDescent="0.15">
      <c r="L931" s="7">
        <f t="shared" si="56"/>
        <v>0</v>
      </c>
      <c r="M931" s="7">
        <f t="shared" si="57"/>
        <v>1</v>
      </c>
      <c r="N931" s="7">
        <f t="shared" si="58"/>
        <v>0.5</v>
      </c>
      <c r="O931" s="7">
        <f t="shared" si="59"/>
        <v>-0.69314718055994529</v>
      </c>
    </row>
    <row r="932" spans="12:15" x14ac:dyDescent="0.15">
      <c r="L932" s="7">
        <f t="shared" si="56"/>
        <v>0</v>
      </c>
      <c r="M932" s="7">
        <f t="shared" si="57"/>
        <v>1</v>
      </c>
      <c r="N932" s="7">
        <f t="shared" si="58"/>
        <v>0.5</v>
      </c>
      <c r="O932" s="7">
        <f t="shared" si="59"/>
        <v>-0.69314718055994529</v>
      </c>
    </row>
    <row r="933" spans="12:15" x14ac:dyDescent="0.15">
      <c r="L933" s="7">
        <f t="shared" si="56"/>
        <v>0</v>
      </c>
      <c r="M933" s="7">
        <f t="shared" si="57"/>
        <v>1</v>
      </c>
      <c r="N933" s="7">
        <f t="shared" si="58"/>
        <v>0.5</v>
      </c>
      <c r="O933" s="7">
        <f t="shared" si="59"/>
        <v>-0.69314718055994529</v>
      </c>
    </row>
    <row r="934" spans="12:15" x14ac:dyDescent="0.15">
      <c r="L934" s="7">
        <f t="shared" si="56"/>
        <v>0</v>
      </c>
      <c r="M934" s="7">
        <f t="shared" si="57"/>
        <v>1</v>
      </c>
      <c r="N934" s="7">
        <f t="shared" si="58"/>
        <v>0.5</v>
      </c>
      <c r="O934" s="7">
        <f t="shared" si="59"/>
        <v>-0.69314718055994529</v>
      </c>
    </row>
    <row r="935" spans="12:15" x14ac:dyDescent="0.15">
      <c r="L935" s="7">
        <f t="shared" si="56"/>
        <v>0</v>
      </c>
      <c r="M935" s="7">
        <f t="shared" si="57"/>
        <v>1</v>
      </c>
      <c r="N935" s="7">
        <f t="shared" si="58"/>
        <v>0.5</v>
      </c>
      <c r="O935" s="7">
        <f t="shared" si="59"/>
        <v>-0.69314718055994529</v>
      </c>
    </row>
    <row r="936" spans="12:15" x14ac:dyDescent="0.15">
      <c r="L936" s="7">
        <f t="shared" si="56"/>
        <v>0</v>
      </c>
      <c r="M936" s="7">
        <f t="shared" si="57"/>
        <v>1</v>
      </c>
      <c r="N936" s="7">
        <f t="shared" si="58"/>
        <v>0.5</v>
      </c>
      <c r="O936" s="7">
        <f t="shared" si="59"/>
        <v>-0.69314718055994529</v>
      </c>
    </row>
    <row r="937" spans="12:15" x14ac:dyDescent="0.15">
      <c r="L937" s="7">
        <f t="shared" si="56"/>
        <v>0</v>
      </c>
      <c r="M937" s="7">
        <f t="shared" si="57"/>
        <v>1</v>
      </c>
      <c r="N937" s="7">
        <f t="shared" si="58"/>
        <v>0.5</v>
      </c>
      <c r="O937" s="7">
        <f t="shared" si="59"/>
        <v>-0.69314718055994529</v>
      </c>
    </row>
    <row r="938" spans="12:15" x14ac:dyDescent="0.15">
      <c r="L938" s="7">
        <f t="shared" si="56"/>
        <v>0</v>
      </c>
      <c r="M938" s="7">
        <f t="shared" si="57"/>
        <v>1</v>
      </c>
      <c r="N938" s="7">
        <f t="shared" si="58"/>
        <v>0.5</v>
      </c>
      <c r="O938" s="7">
        <f t="shared" si="59"/>
        <v>-0.69314718055994529</v>
      </c>
    </row>
    <row r="939" spans="12:15" x14ac:dyDescent="0.15">
      <c r="L939" s="7">
        <f t="shared" si="56"/>
        <v>0</v>
      </c>
      <c r="M939" s="7">
        <f t="shared" si="57"/>
        <v>1</v>
      </c>
      <c r="N939" s="7">
        <f t="shared" si="58"/>
        <v>0.5</v>
      </c>
      <c r="O939" s="7">
        <f t="shared" si="59"/>
        <v>-0.69314718055994529</v>
      </c>
    </row>
    <row r="940" spans="12:15" x14ac:dyDescent="0.15">
      <c r="L940" s="7">
        <f t="shared" si="56"/>
        <v>0</v>
      </c>
      <c r="M940" s="7">
        <f t="shared" si="57"/>
        <v>1</v>
      </c>
      <c r="N940" s="7">
        <f t="shared" si="58"/>
        <v>0.5</v>
      </c>
      <c r="O940" s="7">
        <f t="shared" si="59"/>
        <v>-0.69314718055994529</v>
      </c>
    </row>
    <row r="941" spans="12:15" x14ac:dyDescent="0.15">
      <c r="L941" s="7">
        <f t="shared" si="56"/>
        <v>0</v>
      </c>
      <c r="M941" s="7">
        <f t="shared" si="57"/>
        <v>1</v>
      </c>
      <c r="N941" s="7">
        <f t="shared" si="58"/>
        <v>0.5</v>
      </c>
      <c r="O941" s="7">
        <f t="shared" si="59"/>
        <v>-0.69314718055994529</v>
      </c>
    </row>
    <row r="942" spans="12:15" x14ac:dyDescent="0.15">
      <c r="L942" s="7">
        <f t="shared" si="56"/>
        <v>0</v>
      </c>
      <c r="M942" s="7">
        <f t="shared" si="57"/>
        <v>1</v>
      </c>
      <c r="N942" s="7">
        <f t="shared" si="58"/>
        <v>0.5</v>
      </c>
      <c r="O942" s="7">
        <f t="shared" si="59"/>
        <v>-0.69314718055994529</v>
      </c>
    </row>
    <row r="943" spans="12:15" x14ac:dyDescent="0.15">
      <c r="L943" s="7">
        <f t="shared" si="56"/>
        <v>0</v>
      </c>
      <c r="M943" s="7">
        <f t="shared" si="57"/>
        <v>1</v>
      </c>
      <c r="N943" s="7">
        <f t="shared" si="58"/>
        <v>0.5</v>
      </c>
      <c r="O943" s="7">
        <f t="shared" si="59"/>
        <v>-0.69314718055994529</v>
      </c>
    </row>
    <row r="944" spans="12:15" x14ac:dyDescent="0.15">
      <c r="L944" s="7">
        <f t="shared" si="56"/>
        <v>0</v>
      </c>
      <c r="M944" s="7">
        <f t="shared" si="57"/>
        <v>1</v>
      </c>
      <c r="N944" s="7">
        <f t="shared" si="58"/>
        <v>0.5</v>
      </c>
      <c r="O944" s="7">
        <f t="shared" si="59"/>
        <v>-0.69314718055994529</v>
      </c>
    </row>
    <row r="945" spans="12:15" x14ac:dyDescent="0.15">
      <c r="L945" s="7">
        <f t="shared" si="56"/>
        <v>0</v>
      </c>
      <c r="M945" s="7">
        <f t="shared" si="57"/>
        <v>1</v>
      </c>
      <c r="N945" s="7">
        <f t="shared" si="58"/>
        <v>0.5</v>
      </c>
      <c r="O945" s="7">
        <f t="shared" si="59"/>
        <v>-0.69314718055994529</v>
      </c>
    </row>
    <row r="946" spans="12:15" x14ac:dyDescent="0.15">
      <c r="L946" s="7">
        <f t="shared" si="56"/>
        <v>0</v>
      </c>
      <c r="M946" s="7">
        <f t="shared" si="57"/>
        <v>1</v>
      </c>
      <c r="N946" s="7">
        <f t="shared" si="58"/>
        <v>0.5</v>
      </c>
      <c r="O946" s="7">
        <f t="shared" si="59"/>
        <v>-0.69314718055994529</v>
      </c>
    </row>
    <row r="947" spans="12:15" x14ac:dyDescent="0.15">
      <c r="L947" s="7">
        <f t="shared" si="56"/>
        <v>0</v>
      </c>
      <c r="M947" s="7">
        <f t="shared" si="57"/>
        <v>1</v>
      </c>
      <c r="N947" s="7">
        <f t="shared" si="58"/>
        <v>0.5</v>
      </c>
      <c r="O947" s="7">
        <f t="shared" si="59"/>
        <v>-0.69314718055994529</v>
      </c>
    </row>
    <row r="948" spans="12:15" x14ac:dyDescent="0.15">
      <c r="L948" s="7">
        <f t="shared" si="56"/>
        <v>0</v>
      </c>
      <c r="M948" s="7">
        <f t="shared" si="57"/>
        <v>1</v>
      </c>
      <c r="N948" s="7">
        <f t="shared" si="58"/>
        <v>0.5</v>
      </c>
      <c r="O948" s="7">
        <f t="shared" si="59"/>
        <v>-0.69314718055994529</v>
      </c>
    </row>
    <row r="949" spans="12:15" x14ac:dyDescent="0.15">
      <c r="L949" s="7">
        <f t="shared" si="56"/>
        <v>0</v>
      </c>
      <c r="M949" s="7">
        <f t="shared" si="57"/>
        <v>1</v>
      </c>
      <c r="N949" s="7">
        <f t="shared" si="58"/>
        <v>0.5</v>
      </c>
      <c r="O949" s="7">
        <f t="shared" si="59"/>
        <v>-0.69314718055994529</v>
      </c>
    </row>
    <row r="950" spans="12:15" x14ac:dyDescent="0.15">
      <c r="L950" s="7">
        <f t="shared" si="56"/>
        <v>0</v>
      </c>
      <c r="M950" s="7">
        <f t="shared" si="57"/>
        <v>1</v>
      </c>
      <c r="N950" s="7">
        <f t="shared" si="58"/>
        <v>0.5</v>
      </c>
      <c r="O950" s="7">
        <f t="shared" si="59"/>
        <v>-0.69314718055994529</v>
      </c>
    </row>
    <row r="951" spans="12:15" x14ac:dyDescent="0.15">
      <c r="L951" s="7">
        <f t="shared" si="56"/>
        <v>0</v>
      </c>
      <c r="M951" s="7">
        <f t="shared" si="57"/>
        <v>1</v>
      </c>
      <c r="N951" s="7">
        <f t="shared" si="58"/>
        <v>0.5</v>
      </c>
      <c r="O951" s="7">
        <f t="shared" si="59"/>
        <v>-0.69314718055994529</v>
      </c>
    </row>
    <row r="952" spans="12:15" x14ac:dyDescent="0.15">
      <c r="L952" s="7">
        <f t="shared" si="56"/>
        <v>0</v>
      </c>
      <c r="M952" s="7">
        <f t="shared" si="57"/>
        <v>1</v>
      </c>
      <c r="N952" s="7">
        <f t="shared" si="58"/>
        <v>0.5</v>
      </c>
      <c r="O952" s="7">
        <f t="shared" si="59"/>
        <v>-0.69314718055994529</v>
      </c>
    </row>
    <row r="953" spans="12:15" x14ac:dyDescent="0.15">
      <c r="L953" s="7">
        <f t="shared" si="56"/>
        <v>0</v>
      </c>
      <c r="M953" s="7">
        <f t="shared" si="57"/>
        <v>1</v>
      </c>
      <c r="N953" s="7">
        <f t="shared" si="58"/>
        <v>0.5</v>
      </c>
      <c r="O953" s="7">
        <f t="shared" si="59"/>
        <v>-0.69314718055994529</v>
      </c>
    </row>
    <row r="954" spans="12:15" x14ac:dyDescent="0.15">
      <c r="L954" s="7">
        <f t="shared" si="56"/>
        <v>0</v>
      </c>
      <c r="M954" s="7">
        <f t="shared" si="57"/>
        <v>1</v>
      </c>
      <c r="N954" s="7">
        <f t="shared" si="58"/>
        <v>0.5</v>
      </c>
      <c r="O954" s="7">
        <f t="shared" si="59"/>
        <v>-0.69314718055994529</v>
      </c>
    </row>
    <row r="955" spans="12:15" x14ac:dyDescent="0.15">
      <c r="L955" s="7">
        <f t="shared" si="56"/>
        <v>0</v>
      </c>
      <c r="M955" s="7">
        <f t="shared" si="57"/>
        <v>1</v>
      </c>
      <c r="N955" s="7">
        <f t="shared" si="58"/>
        <v>0.5</v>
      </c>
      <c r="O955" s="7">
        <f t="shared" si="59"/>
        <v>-0.69314718055994529</v>
      </c>
    </row>
    <row r="956" spans="12:15" x14ac:dyDescent="0.15">
      <c r="L956" s="7">
        <f t="shared" si="56"/>
        <v>0</v>
      </c>
      <c r="M956" s="7">
        <f t="shared" si="57"/>
        <v>1</v>
      </c>
      <c r="N956" s="7">
        <f t="shared" si="58"/>
        <v>0.5</v>
      </c>
      <c r="O956" s="7">
        <f t="shared" si="59"/>
        <v>-0.69314718055994529</v>
      </c>
    </row>
    <row r="957" spans="12:15" x14ac:dyDescent="0.15">
      <c r="L957" s="7">
        <f t="shared" si="56"/>
        <v>0</v>
      </c>
      <c r="M957" s="7">
        <f t="shared" si="57"/>
        <v>1</v>
      </c>
      <c r="N957" s="7">
        <f t="shared" si="58"/>
        <v>0.5</v>
      </c>
      <c r="O957" s="7">
        <f t="shared" si="59"/>
        <v>-0.69314718055994529</v>
      </c>
    </row>
    <row r="958" spans="12:15" x14ac:dyDescent="0.15">
      <c r="L958" s="7">
        <f t="shared" si="56"/>
        <v>0</v>
      </c>
      <c r="M958" s="7">
        <f t="shared" si="57"/>
        <v>1</v>
      </c>
      <c r="N958" s="7">
        <f t="shared" si="58"/>
        <v>0.5</v>
      </c>
      <c r="O958" s="7">
        <f t="shared" si="59"/>
        <v>-0.69314718055994529</v>
      </c>
    </row>
    <row r="959" spans="12:15" x14ac:dyDescent="0.15">
      <c r="L959" s="7">
        <f t="shared" si="56"/>
        <v>0</v>
      </c>
      <c r="M959" s="7">
        <f t="shared" si="57"/>
        <v>1</v>
      </c>
      <c r="N959" s="7">
        <f t="shared" si="58"/>
        <v>0.5</v>
      </c>
      <c r="O959" s="7">
        <f t="shared" si="59"/>
        <v>-0.69314718055994529</v>
      </c>
    </row>
    <row r="960" spans="12:15" x14ac:dyDescent="0.15">
      <c r="L960" s="7">
        <f t="shared" si="56"/>
        <v>0</v>
      </c>
      <c r="M960" s="7">
        <f t="shared" si="57"/>
        <v>1</v>
      </c>
      <c r="N960" s="7">
        <f t="shared" si="58"/>
        <v>0.5</v>
      </c>
      <c r="O960" s="7">
        <f t="shared" si="59"/>
        <v>-0.69314718055994529</v>
      </c>
    </row>
    <row r="961" spans="12:15" x14ac:dyDescent="0.15">
      <c r="L961" s="7">
        <f t="shared" si="56"/>
        <v>0</v>
      </c>
      <c r="M961" s="7">
        <f t="shared" si="57"/>
        <v>1</v>
      </c>
      <c r="N961" s="7">
        <f t="shared" si="58"/>
        <v>0.5</v>
      </c>
      <c r="O961" s="7">
        <f t="shared" si="59"/>
        <v>-0.69314718055994529</v>
      </c>
    </row>
    <row r="962" spans="12:15" x14ac:dyDescent="0.15">
      <c r="L962" s="7">
        <f t="shared" si="56"/>
        <v>0</v>
      </c>
      <c r="M962" s="7">
        <f t="shared" si="57"/>
        <v>1</v>
      </c>
      <c r="N962" s="7">
        <f t="shared" si="58"/>
        <v>0.5</v>
      </c>
      <c r="O962" s="7">
        <f t="shared" si="59"/>
        <v>-0.69314718055994529</v>
      </c>
    </row>
    <row r="963" spans="12:15" x14ac:dyDescent="0.15">
      <c r="L963" s="7">
        <f t="shared" ref="L963:L1026" si="60">$Q$1 + $Q$2*B963+$Q$3*C963+ $Q$4*D963+$Q$5*E963+$Q$6*F963+$Q$7*G963+H963*$Q$8+I963*$Q$9+J963*$Q$10+K963*$Q$11</f>
        <v>0</v>
      </c>
      <c r="M963" s="7">
        <f t="shared" ref="M963:M1026" si="61">EXP(L963)</f>
        <v>1</v>
      </c>
      <c r="N963" s="7">
        <f t="shared" ref="N963:N1026" si="62">1/(1+M963)</f>
        <v>0.5</v>
      </c>
      <c r="O963" s="7">
        <f t="shared" ref="O963:O1026" si="63">A963*LN(N963)+(1-A963)*LN(1-N963)</f>
        <v>-0.69314718055994529</v>
      </c>
    </row>
    <row r="964" spans="12:15" x14ac:dyDescent="0.15">
      <c r="L964" s="7">
        <f t="shared" si="60"/>
        <v>0</v>
      </c>
      <c r="M964" s="7">
        <f t="shared" si="61"/>
        <v>1</v>
      </c>
      <c r="N964" s="7">
        <f t="shared" si="62"/>
        <v>0.5</v>
      </c>
      <c r="O964" s="7">
        <f t="shared" si="63"/>
        <v>-0.69314718055994529</v>
      </c>
    </row>
    <row r="965" spans="12:15" x14ac:dyDescent="0.15">
      <c r="L965" s="7">
        <f t="shared" si="60"/>
        <v>0</v>
      </c>
      <c r="M965" s="7">
        <f t="shared" si="61"/>
        <v>1</v>
      </c>
      <c r="N965" s="7">
        <f t="shared" si="62"/>
        <v>0.5</v>
      </c>
      <c r="O965" s="7">
        <f t="shared" si="63"/>
        <v>-0.69314718055994529</v>
      </c>
    </row>
    <row r="966" spans="12:15" x14ac:dyDescent="0.15">
      <c r="L966" s="7">
        <f t="shared" si="60"/>
        <v>0</v>
      </c>
      <c r="M966" s="7">
        <f t="shared" si="61"/>
        <v>1</v>
      </c>
      <c r="N966" s="7">
        <f t="shared" si="62"/>
        <v>0.5</v>
      </c>
      <c r="O966" s="7">
        <f t="shared" si="63"/>
        <v>-0.69314718055994529</v>
      </c>
    </row>
    <row r="967" spans="12:15" x14ac:dyDescent="0.15">
      <c r="L967" s="7">
        <f t="shared" si="60"/>
        <v>0</v>
      </c>
      <c r="M967" s="7">
        <f t="shared" si="61"/>
        <v>1</v>
      </c>
      <c r="N967" s="7">
        <f t="shared" si="62"/>
        <v>0.5</v>
      </c>
      <c r="O967" s="7">
        <f t="shared" si="63"/>
        <v>-0.69314718055994529</v>
      </c>
    </row>
    <row r="968" spans="12:15" x14ac:dyDescent="0.15">
      <c r="L968" s="7">
        <f t="shared" si="60"/>
        <v>0</v>
      </c>
      <c r="M968" s="7">
        <f t="shared" si="61"/>
        <v>1</v>
      </c>
      <c r="N968" s="7">
        <f t="shared" si="62"/>
        <v>0.5</v>
      </c>
      <c r="O968" s="7">
        <f t="shared" si="63"/>
        <v>-0.69314718055994529</v>
      </c>
    </row>
    <row r="969" spans="12:15" x14ac:dyDescent="0.15">
      <c r="L969" s="7">
        <f t="shared" si="60"/>
        <v>0</v>
      </c>
      <c r="M969" s="7">
        <f t="shared" si="61"/>
        <v>1</v>
      </c>
      <c r="N969" s="7">
        <f t="shared" si="62"/>
        <v>0.5</v>
      </c>
      <c r="O969" s="7">
        <f t="shared" si="63"/>
        <v>-0.69314718055994529</v>
      </c>
    </row>
    <row r="970" spans="12:15" x14ac:dyDescent="0.15">
      <c r="L970" s="7">
        <f t="shared" si="60"/>
        <v>0</v>
      </c>
      <c r="M970" s="7">
        <f t="shared" si="61"/>
        <v>1</v>
      </c>
      <c r="N970" s="7">
        <f t="shared" si="62"/>
        <v>0.5</v>
      </c>
      <c r="O970" s="7">
        <f t="shared" si="63"/>
        <v>-0.69314718055994529</v>
      </c>
    </row>
    <row r="971" spans="12:15" x14ac:dyDescent="0.15">
      <c r="L971" s="7">
        <f t="shared" si="60"/>
        <v>0</v>
      </c>
      <c r="M971" s="7">
        <f t="shared" si="61"/>
        <v>1</v>
      </c>
      <c r="N971" s="7">
        <f t="shared" si="62"/>
        <v>0.5</v>
      </c>
      <c r="O971" s="7">
        <f t="shared" si="63"/>
        <v>-0.69314718055994529</v>
      </c>
    </row>
    <row r="972" spans="12:15" x14ac:dyDescent="0.15">
      <c r="L972" s="7">
        <f t="shared" si="60"/>
        <v>0</v>
      </c>
      <c r="M972" s="7">
        <f t="shared" si="61"/>
        <v>1</v>
      </c>
      <c r="N972" s="7">
        <f t="shared" si="62"/>
        <v>0.5</v>
      </c>
      <c r="O972" s="7">
        <f t="shared" si="63"/>
        <v>-0.69314718055994529</v>
      </c>
    </row>
    <row r="973" spans="12:15" x14ac:dyDescent="0.15">
      <c r="L973" s="7">
        <f t="shared" si="60"/>
        <v>0</v>
      </c>
      <c r="M973" s="7">
        <f t="shared" si="61"/>
        <v>1</v>
      </c>
      <c r="N973" s="7">
        <f t="shared" si="62"/>
        <v>0.5</v>
      </c>
      <c r="O973" s="7">
        <f t="shared" si="63"/>
        <v>-0.69314718055994529</v>
      </c>
    </row>
    <row r="974" spans="12:15" x14ac:dyDescent="0.15">
      <c r="L974" s="7">
        <f t="shared" si="60"/>
        <v>0</v>
      </c>
      <c r="M974" s="7">
        <f t="shared" si="61"/>
        <v>1</v>
      </c>
      <c r="N974" s="7">
        <f t="shared" si="62"/>
        <v>0.5</v>
      </c>
      <c r="O974" s="7">
        <f t="shared" si="63"/>
        <v>-0.69314718055994529</v>
      </c>
    </row>
    <row r="975" spans="12:15" x14ac:dyDescent="0.15">
      <c r="L975" s="7">
        <f t="shared" si="60"/>
        <v>0</v>
      </c>
      <c r="M975" s="7">
        <f t="shared" si="61"/>
        <v>1</v>
      </c>
      <c r="N975" s="7">
        <f t="shared" si="62"/>
        <v>0.5</v>
      </c>
      <c r="O975" s="7">
        <f t="shared" si="63"/>
        <v>-0.69314718055994529</v>
      </c>
    </row>
    <row r="976" spans="12:15" x14ac:dyDescent="0.15">
      <c r="L976" s="7">
        <f t="shared" si="60"/>
        <v>0</v>
      </c>
      <c r="M976" s="7">
        <f t="shared" si="61"/>
        <v>1</v>
      </c>
      <c r="N976" s="7">
        <f t="shared" si="62"/>
        <v>0.5</v>
      </c>
      <c r="O976" s="7">
        <f t="shared" si="63"/>
        <v>-0.69314718055994529</v>
      </c>
    </row>
    <row r="977" spans="12:15" x14ac:dyDescent="0.15">
      <c r="L977" s="7">
        <f t="shared" si="60"/>
        <v>0</v>
      </c>
      <c r="M977" s="7">
        <f t="shared" si="61"/>
        <v>1</v>
      </c>
      <c r="N977" s="7">
        <f t="shared" si="62"/>
        <v>0.5</v>
      </c>
      <c r="O977" s="7">
        <f t="shared" si="63"/>
        <v>-0.69314718055994529</v>
      </c>
    </row>
    <row r="978" spans="12:15" x14ac:dyDescent="0.15">
      <c r="L978" s="7">
        <f t="shared" si="60"/>
        <v>0</v>
      </c>
      <c r="M978" s="7">
        <f t="shared" si="61"/>
        <v>1</v>
      </c>
      <c r="N978" s="7">
        <f t="shared" si="62"/>
        <v>0.5</v>
      </c>
      <c r="O978" s="7">
        <f t="shared" si="63"/>
        <v>-0.69314718055994529</v>
      </c>
    </row>
    <row r="979" spans="12:15" x14ac:dyDescent="0.15">
      <c r="L979" s="7">
        <f t="shared" si="60"/>
        <v>0</v>
      </c>
      <c r="M979" s="7">
        <f t="shared" si="61"/>
        <v>1</v>
      </c>
      <c r="N979" s="7">
        <f t="shared" si="62"/>
        <v>0.5</v>
      </c>
      <c r="O979" s="7">
        <f t="shared" si="63"/>
        <v>-0.69314718055994529</v>
      </c>
    </row>
    <row r="980" spans="12:15" x14ac:dyDescent="0.15">
      <c r="L980" s="7">
        <f t="shared" si="60"/>
        <v>0</v>
      </c>
      <c r="M980" s="7">
        <f t="shared" si="61"/>
        <v>1</v>
      </c>
      <c r="N980" s="7">
        <f t="shared" si="62"/>
        <v>0.5</v>
      </c>
      <c r="O980" s="7">
        <f t="shared" si="63"/>
        <v>-0.69314718055994529</v>
      </c>
    </row>
    <row r="981" spans="12:15" x14ac:dyDescent="0.15">
      <c r="L981" s="7">
        <f t="shared" si="60"/>
        <v>0</v>
      </c>
      <c r="M981" s="7">
        <f t="shared" si="61"/>
        <v>1</v>
      </c>
      <c r="N981" s="7">
        <f t="shared" si="62"/>
        <v>0.5</v>
      </c>
      <c r="O981" s="7">
        <f t="shared" si="63"/>
        <v>-0.69314718055994529</v>
      </c>
    </row>
    <row r="982" spans="12:15" x14ac:dyDescent="0.15">
      <c r="L982" s="7">
        <f t="shared" si="60"/>
        <v>0</v>
      </c>
      <c r="M982" s="7">
        <f t="shared" si="61"/>
        <v>1</v>
      </c>
      <c r="N982" s="7">
        <f t="shared" si="62"/>
        <v>0.5</v>
      </c>
      <c r="O982" s="7">
        <f t="shared" si="63"/>
        <v>-0.69314718055994529</v>
      </c>
    </row>
    <row r="983" spans="12:15" x14ac:dyDescent="0.15">
      <c r="L983" s="7">
        <f t="shared" si="60"/>
        <v>0</v>
      </c>
      <c r="M983" s="7">
        <f t="shared" si="61"/>
        <v>1</v>
      </c>
      <c r="N983" s="7">
        <f t="shared" si="62"/>
        <v>0.5</v>
      </c>
      <c r="O983" s="7">
        <f t="shared" si="63"/>
        <v>-0.69314718055994529</v>
      </c>
    </row>
    <row r="984" spans="12:15" x14ac:dyDescent="0.15">
      <c r="L984" s="7">
        <f t="shared" si="60"/>
        <v>0</v>
      </c>
      <c r="M984" s="7">
        <f t="shared" si="61"/>
        <v>1</v>
      </c>
      <c r="N984" s="7">
        <f t="shared" si="62"/>
        <v>0.5</v>
      </c>
      <c r="O984" s="7">
        <f t="shared" si="63"/>
        <v>-0.69314718055994529</v>
      </c>
    </row>
    <row r="985" spans="12:15" x14ac:dyDescent="0.15">
      <c r="L985" s="7">
        <f t="shared" si="60"/>
        <v>0</v>
      </c>
      <c r="M985" s="7">
        <f t="shared" si="61"/>
        <v>1</v>
      </c>
      <c r="N985" s="7">
        <f t="shared" si="62"/>
        <v>0.5</v>
      </c>
      <c r="O985" s="7">
        <f t="shared" si="63"/>
        <v>-0.69314718055994529</v>
      </c>
    </row>
    <row r="986" spans="12:15" x14ac:dyDescent="0.15">
      <c r="L986" s="7">
        <f t="shared" si="60"/>
        <v>0</v>
      </c>
      <c r="M986" s="7">
        <f t="shared" si="61"/>
        <v>1</v>
      </c>
      <c r="N986" s="7">
        <f t="shared" si="62"/>
        <v>0.5</v>
      </c>
      <c r="O986" s="7">
        <f t="shared" si="63"/>
        <v>-0.69314718055994529</v>
      </c>
    </row>
    <row r="987" spans="12:15" x14ac:dyDescent="0.15">
      <c r="L987" s="7">
        <f t="shared" si="60"/>
        <v>0</v>
      </c>
      <c r="M987" s="7">
        <f t="shared" si="61"/>
        <v>1</v>
      </c>
      <c r="N987" s="7">
        <f t="shared" si="62"/>
        <v>0.5</v>
      </c>
      <c r="O987" s="7">
        <f t="shared" si="63"/>
        <v>-0.69314718055994529</v>
      </c>
    </row>
    <row r="988" spans="12:15" x14ac:dyDescent="0.15">
      <c r="L988" s="7">
        <f t="shared" si="60"/>
        <v>0</v>
      </c>
      <c r="M988" s="7">
        <f t="shared" si="61"/>
        <v>1</v>
      </c>
      <c r="N988" s="7">
        <f t="shared" si="62"/>
        <v>0.5</v>
      </c>
      <c r="O988" s="7">
        <f t="shared" si="63"/>
        <v>-0.69314718055994529</v>
      </c>
    </row>
    <row r="989" spans="12:15" x14ac:dyDescent="0.15">
      <c r="L989" s="7">
        <f t="shared" si="60"/>
        <v>0</v>
      </c>
      <c r="M989" s="7">
        <f t="shared" si="61"/>
        <v>1</v>
      </c>
      <c r="N989" s="7">
        <f t="shared" si="62"/>
        <v>0.5</v>
      </c>
      <c r="O989" s="7">
        <f t="shared" si="63"/>
        <v>-0.69314718055994529</v>
      </c>
    </row>
    <row r="990" spans="12:15" x14ac:dyDescent="0.15">
      <c r="L990" s="7">
        <f t="shared" si="60"/>
        <v>0</v>
      </c>
      <c r="M990" s="7">
        <f t="shared" si="61"/>
        <v>1</v>
      </c>
      <c r="N990" s="7">
        <f t="shared" si="62"/>
        <v>0.5</v>
      </c>
      <c r="O990" s="7">
        <f t="shared" si="63"/>
        <v>-0.69314718055994529</v>
      </c>
    </row>
    <row r="991" spans="12:15" x14ac:dyDescent="0.15">
      <c r="L991" s="7">
        <f t="shared" si="60"/>
        <v>0</v>
      </c>
      <c r="M991" s="7">
        <f t="shared" si="61"/>
        <v>1</v>
      </c>
      <c r="N991" s="7">
        <f t="shared" si="62"/>
        <v>0.5</v>
      </c>
      <c r="O991" s="7">
        <f t="shared" si="63"/>
        <v>-0.69314718055994529</v>
      </c>
    </row>
    <row r="992" spans="12:15" x14ac:dyDescent="0.15">
      <c r="L992" s="7">
        <f t="shared" si="60"/>
        <v>0</v>
      </c>
      <c r="M992" s="7">
        <f t="shared" si="61"/>
        <v>1</v>
      </c>
      <c r="N992" s="7">
        <f t="shared" si="62"/>
        <v>0.5</v>
      </c>
      <c r="O992" s="7">
        <f t="shared" si="63"/>
        <v>-0.69314718055994529</v>
      </c>
    </row>
    <row r="993" spans="12:15" x14ac:dyDescent="0.15">
      <c r="L993" s="7">
        <f t="shared" si="60"/>
        <v>0</v>
      </c>
      <c r="M993" s="7">
        <f t="shared" si="61"/>
        <v>1</v>
      </c>
      <c r="N993" s="7">
        <f t="shared" si="62"/>
        <v>0.5</v>
      </c>
      <c r="O993" s="7">
        <f t="shared" si="63"/>
        <v>-0.69314718055994529</v>
      </c>
    </row>
    <row r="994" spans="12:15" x14ac:dyDescent="0.15">
      <c r="L994" s="7">
        <f t="shared" si="60"/>
        <v>0</v>
      </c>
      <c r="M994" s="7">
        <f t="shared" si="61"/>
        <v>1</v>
      </c>
      <c r="N994" s="7">
        <f t="shared" si="62"/>
        <v>0.5</v>
      </c>
      <c r="O994" s="7">
        <f t="shared" si="63"/>
        <v>-0.69314718055994529</v>
      </c>
    </row>
    <row r="995" spans="12:15" x14ac:dyDescent="0.15">
      <c r="L995" s="7">
        <f t="shared" si="60"/>
        <v>0</v>
      </c>
      <c r="M995" s="7">
        <f t="shared" si="61"/>
        <v>1</v>
      </c>
      <c r="N995" s="7">
        <f t="shared" si="62"/>
        <v>0.5</v>
      </c>
      <c r="O995" s="7">
        <f t="shared" si="63"/>
        <v>-0.69314718055994529</v>
      </c>
    </row>
    <row r="996" spans="12:15" x14ac:dyDescent="0.15">
      <c r="L996" s="7">
        <f t="shared" si="60"/>
        <v>0</v>
      </c>
      <c r="M996" s="7">
        <f t="shared" si="61"/>
        <v>1</v>
      </c>
      <c r="N996" s="7">
        <f t="shared" si="62"/>
        <v>0.5</v>
      </c>
      <c r="O996" s="7">
        <f t="shared" si="63"/>
        <v>-0.69314718055994529</v>
      </c>
    </row>
    <row r="997" spans="12:15" x14ac:dyDescent="0.15">
      <c r="L997" s="7">
        <f t="shared" si="60"/>
        <v>0</v>
      </c>
      <c r="M997" s="7">
        <f t="shared" si="61"/>
        <v>1</v>
      </c>
      <c r="N997" s="7">
        <f t="shared" si="62"/>
        <v>0.5</v>
      </c>
      <c r="O997" s="7">
        <f t="shared" si="63"/>
        <v>-0.69314718055994529</v>
      </c>
    </row>
    <row r="998" spans="12:15" x14ac:dyDescent="0.15">
      <c r="L998" s="7">
        <f t="shared" si="60"/>
        <v>0</v>
      </c>
      <c r="M998" s="7">
        <f t="shared" si="61"/>
        <v>1</v>
      </c>
      <c r="N998" s="7">
        <f t="shared" si="62"/>
        <v>0.5</v>
      </c>
      <c r="O998" s="7">
        <f t="shared" si="63"/>
        <v>-0.69314718055994529</v>
      </c>
    </row>
    <row r="999" spans="12:15" x14ac:dyDescent="0.15">
      <c r="L999" s="7">
        <f t="shared" si="60"/>
        <v>0</v>
      </c>
      <c r="M999" s="7">
        <f t="shared" si="61"/>
        <v>1</v>
      </c>
      <c r="N999" s="7">
        <f t="shared" si="62"/>
        <v>0.5</v>
      </c>
      <c r="O999" s="7">
        <f t="shared" si="63"/>
        <v>-0.69314718055994529</v>
      </c>
    </row>
    <row r="1000" spans="12:15" x14ac:dyDescent="0.15">
      <c r="L1000" s="7">
        <f t="shared" si="60"/>
        <v>0</v>
      </c>
      <c r="M1000" s="7">
        <f t="shared" si="61"/>
        <v>1</v>
      </c>
      <c r="N1000" s="7">
        <f t="shared" si="62"/>
        <v>0.5</v>
      </c>
      <c r="O1000" s="7">
        <f t="shared" si="63"/>
        <v>-0.69314718055994529</v>
      </c>
    </row>
    <row r="1001" spans="12:15" x14ac:dyDescent="0.15">
      <c r="L1001" s="7">
        <f t="shared" si="60"/>
        <v>0</v>
      </c>
      <c r="M1001" s="7">
        <f t="shared" si="61"/>
        <v>1</v>
      </c>
      <c r="N1001" s="7">
        <f t="shared" si="62"/>
        <v>0.5</v>
      </c>
      <c r="O1001" s="7">
        <f t="shared" si="63"/>
        <v>-0.69314718055994529</v>
      </c>
    </row>
    <row r="1002" spans="12:15" x14ac:dyDescent="0.15">
      <c r="L1002" s="7">
        <f t="shared" si="60"/>
        <v>0</v>
      </c>
      <c r="M1002" s="7">
        <f t="shared" si="61"/>
        <v>1</v>
      </c>
      <c r="N1002" s="7">
        <f t="shared" si="62"/>
        <v>0.5</v>
      </c>
      <c r="O1002" s="7">
        <f t="shared" si="63"/>
        <v>-0.69314718055994529</v>
      </c>
    </row>
    <row r="1003" spans="12:15" x14ac:dyDescent="0.15">
      <c r="L1003" s="7">
        <f t="shared" si="60"/>
        <v>0</v>
      </c>
      <c r="M1003" s="7">
        <f t="shared" si="61"/>
        <v>1</v>
      </c>
      <c r="N1003" s="7">
        <f t="shared" si="62"/>
        <v>0.5</v>
      </c>
      <c r="O1003" s="7">
        <f t="shared" si="63"/>
        <v>-0.69314718055994529</v>
      </c>
    </row>
    <row r="1004" spans="12:15" x14ac:dyDescent="0.15">
      <c r="L1004" s="7">
        <f t="shared" si="60"/>
        <v>0</v>
      </c>
      <c r="M1004" s="7">
        <f t="shared" si="61"/>
        <v>1</v>
      </c>
      <c r="N1004" s="7">
        <f t="shared" si="62"/>
        <v>0.5</v>
      </c>
      <c r="O1004" s="7">
        <f t="shared" si="63"/>
        <v>-0.69314718055994529</v>
      </c>
    </row>
    <row r="1005" spans="12:15" x14ac:dyDescent="0.15">
      <c r="L1005" s="7">
        <f t="shared" si="60"/>
        <v>0</v>
      </c>
      <c r="M1005" s="7">
        <f t="shared" si="61"/>
        <v>1</v>
      </c>
      <c r="N1005" s="7">
        <f t="shared" si="62"/>
        <v>0.5</v>
      </c>
      <c r="O1005" s="7">
        <f t="shared" si="63"/>
        <v>-0.69314718055994529</v>
      </c>
    </row>
    <row r="1006" spans="12:15" x14ac:dyDescent="0.15">
      <c r="L1006" s="7">
        <f t="shared" si="60"/>
        <v>0</v>
      </c>
      <c r="M1006" s="7">
        <f t="shared" si="61"/>
        <v>1</v>
      </c>
      <c r="N1006" s="7">
        <f t="shared" si="62"/>
        <v>0.5</v>
      </c>
      <c r="O1006" s="7">
        <f t="shared" si="63"/>
        <v>-0.69314718055994529</v>
      </c>
    </row>
    <row r="1007" spans="12:15" x14ac:dyDescent="0.15">
      <c r="L1007" s="7">
        <f t="shared" si="60"/>
        <v>0</v>
      </c>
      <c r="M1007" s="7">
        <f t="shared" si="61"/>
        <v>1</v>
      </c>
      <c r="N1007" s="7">
        <f t="shared" si="62"/>
        <v>0.5</v>
      </c>
      <c r="O1007" s="7">
        <f t="shared" si="63"/>
        <v>-0.69314718055994529</v>
      </c>
    </row>
    <row r="1008" spans="12:15" x14ac:dyDescent="0.15">
      <c r="L1008" s="7">
        <f t="shared" si="60"/>
        <v>0</v>
      </c>
      <c r="M1008" s="7">
        <f t="shared" si="61"/>
        <v>1</v>
      </c>
      <c r="N1008" s="7">
        <f t="shared" si="62"/>
        <v>0.5</v>
      </c>
      <c r="O1008" s="7">
        <f t="shared" si="63"/>
        <v>-0.69314718055994529</v>
      </c>
    </row>
    <row r="1009" spans="12:15" x14ac:dyDescent="0.15">
      <c r="L1009" s="7">
        <f t="shared" si="60"/>
        <v>0</v>
      </c>
      <c r="M1009" s="7">
        <f t="shared" si="61"/>
        <v>1</v>
      </c>
      <c r="N1009" s="7">
        <f t="shared" si="62"/>
        <v>0.5</v>
      </c>
      <c r="O1009" s="7">
        <f t="shared" si="63"/>
        <v>-0.69314718055994529</v>
      </c>
    </row>
    <row r="1010" spans="12:15" x14ac:dyDescent="0.15">
      <c r="L1010" s="7">
        <f t="shared" si="60"/>
        <v>0</v>
      </c>
      <c r="M1010" s="7">
        <f t="shared" si="61"/>
        <v>1</v>
      </c>
      <c r="N1010" s="7">
        <f t="shared" si="62"/>
        <v>0.5</v>
      </c>
      <c r="O1010" s="7">
        <f t="shared" si="63"/>
        <v>-0.69314718055994529</v>
      </c>
    </row>
    <row r="1011" spans="12:15" x14ac:dyDescent="0.15">
      <c r="L1011" s="7">
        <f t="shared" si="60"/>
        <v>0</v>
      </c>
      <c r="M1011" s="7">
        <f t="shared" si="61"/>
        <v>1</v>
      </c>
      <c r="N1011" s="7">
        <f t="shared" si="62"/>
        <v>0.5</v>
      </c>
      <c r="O1011" s="7">
        <f t="shared" si="63"/>
        <v>-0.69314718055994529</v>
      </c>
    </row>
    <row r="1012" spans="12:15" x14ac:dyDescent="0.15">
      <c r="L1012" s="7">
        <f t="shared" si="60"/>
        <v>0</v>
      </c>
      <c r="M1012" s="7">
        <f t="shared" si="61"/>
        <v>1</v>
      </c>
      <c r="N1012" s="7">
        <f t="shared" si="62"/>
        <v>0.5</v>
      </c>
      <c r="O1012" s="7">
        <f t="shared" si="63"/>
        <v>-0.69314718055994529</v>
      </c>
    </row>
    <row r="1013" spans="12:15" x14ac:dyDescent="0.15">
      <c r="L1013" s="7">
        <f t="shared" si="60"/>
        <v>0</v>
      </c>
      <c r="M1013" s="7">
        <f t="shared" si="61"/>
        <v>1</v>
      </c>
      <c r="N1013" s="7">
        <f t="shared" si="62"/>
        <v>0.5</v>
      </c>
      <c r="O1013" s="7">
        <f t="shared" si="63"/>
        <v>-0.69314718055994529</v>
      </c>
    </row>
    <row r="1014" spans="12:15" x14ac:dyDescent="0.15">
      <c r="L1014" s="7">
        <f t="shared" si="60"/>
        <v>0</v>
      </c>
      <c r="M1014" s="7">
        <f t="shared" si="61"/>
        <v>1</v>
      </c>
      <c r="N1014" s="7">
        <f t="shared" si="62"/>
        <v>0.5</v>
      </c>
      <c r="O1014" s="7">
        <f t="shared" si="63"/>
        <v>-0.69314718055994529</v>
      </c>
    </row>
    <row r="1015" spans="12:15" x14ac:dyDescent="0.15">
      <c r="L1015" s="7">
        <f t="shared" si="60"/>
        <v>0</v>
      </c>
      <c r="M1015" s="7">
        <f t="shared" si="61"/>
        <v>1</v>
      </c>
      <c r="N1015" s="7">
        <f t="shared" si="62"/>
        <v>0.5</v>
      </c>
      <c r="O1015" s="7">
        <f t="shared" si="63"/>
        <v>-0.69314718055994529</v>
      </c>
    </row>
    <row r="1016" spans="12:15" x14ac:dyDescent="0.15">
      <c r="L1016" s="7">
        <f t="shared" si="60"/>
        <v>0</v>
      </c>
      <c r="M1016" s="7">
        <f t="shared" si="61"/>
        <v>1</v>
      </c>
      <c r="N1016" s="7">
        <f t="shared" si="62"/>
        <v>0.5</v>
      </c>
      <c r="O1016" s="7">
        <f t="shared" si="63"/>
        <v>-0.69314718055994529</v>
      </c>
    </row>
    <row r="1017" spans="12:15" x14ac:dyDescent="0.15">
      <c r="L1017" s="7">
        <f t="shared" si="60"/>
        <v>0</v>
      </c>
      <c r="M1017" s="7">
        <f t="shared" si="61"/>
        <v>1</v>
      </c>
      <c r="N1017" s="7">
        <f t="shared" si="62"/>
        <v>0.5</v>
      </c>
      <c r="O1017" s="7">
        <f t="shared" si="63"/>
        <v>-0.69314718055994529</v>
      </c>
    </row>
    <row r="1018" spans="12:15" x14ac:dyDescent="0.15">
      <c r="L1018" s="7">
        <f t="shared" si="60"/>
        <v>0</v>
      </c>
      <c r="M1018" s="7">
        <f t="shared" si="61"/>
        <v>1</v>
      </c>
      <c r="N1018" s="7">
        <f t="shared" si="62"/>
        <v>0.5</v>
      </c>
      <c r="O1018" s="7">
        <f t="shared" si="63"/>
        <v>-0.69314718055994529</v>
      </c>
    </row>
    <row r="1019" spans="12:15" x14ac:dyDescent="0.15">
      <c r="L1019" s="7">
        <f t="shared" si="60"/>
        <v>0</v>
      </c>
      <c r="M1019" s="7">
        <f t="shared" si="61"/>
        <v>1</v>
      </c>
      <c r="N1019" s="7">
        <f t="shared" si="62"/>
        <v>0.5</v>
      </c>
      <c r="O1019" s="7">
        <f t="shared" si="63"/>
        <v>-0.69314718055994529</v>
      </c>
    </row>
    <row r="1020" spans="12:15" x14ac:dyDescent="0.15">
      <c r="L1020" s="7">
        <f t="shared" si="60"/>
        <v>0</v>
      </c>
      <c r="M1020" s="7">
        <f t="shared" si="61"/>
        <v>1</v>
      </c>
      <c r="N1020" s="7">
        <f t="shared" si="62"/>
        <v>0.5</v>
      </c>
      <c r="O1020" s="7">
        <f t="shared" si="63"/>
        <v>-0.69314718055994529</v>
      </c>
    </row>
    <row r="1021" spans="12:15" x14ac:dyDescent="0.15">
      <c r="L1021" s="7">
        <f t="shared" si="60"/>
        <v>0</v>
      </c>
      <c r="M1021" s="7">
        <f t="shared" si="61"/>
        <v>1</v>
      </c>
      <c r="N1021" s="7">
        <f t="shared" si="62"/>
        <v>0.5</v>
      </c>
      <c r="O1021" s="7">
        <f t="shared" si="63"/>
        <v>-0.69314718055994529</v>
      </c>
    </row>
    <row r="1022" spans="12:15" x14ac:dyDescent="0.15">
      <c r="L1022" s="7">
        <f t="shared" si="60"/>
        <v>0</v>
      </c>
      <c r="M1022" s="7">
        <f t="shared" si="61"/>
        <v>1</v>
      </c>
      <c r="N1022" s="7">
        <f t="shared" si="62"/>
        <v>0.5</v>
      </c>
      <c r="O1022" s="7">
        <f t="shared" si="63"/>
        <v>-0.69314718055994529</v>
      </c>
    </row>
    <row r="1023" spans="12:15" x14ac:dyDescent="0.15">
      <c r="L1023" s="7">
        <f t="shared" si="60"/>
        <v>0</v>
      </c>
      <c r="M1023" s="7">
        <f t="shared" si="61"/>
        <v>1</v>
      </c>
      <c r="N1023" s="7">
        <f t="shared" si="62"/>
        <v>0.5</v>
      </c>
      <c r="O1023" s="7">
        <f t="shared" si="63"/>
        <v>-0.69314718055994529</v>
      </c>
    </row>
    <row r="1024" spans="12:15" x14ac:dyDescent="0.15">
      <c r="L1024" s="7">
        <f t="shared" si="60"/>
        <v>0</v>
      </c>
      <c r="M1024" s="7">
        <f t="shared" si="61"/>
        <v>1</v>
      </c>
      <c r="N1024" s="7">
        <f t="shared" si="62"/>
        <v>0.5</v>
      </c>
      <c r="O1024" s="7">
        <f t="shared" si="63"/>
        <v>-0.69314718055994529</v>
      </c>
    </row>
    <row r="1025" spans="12:15" x14ac:dyDescent="0.15">
      <c r="L1025" s="7">
        <f t="shared" si="60"/>
        <v>0</v>
      </c>
      <c r="M1025" s="7">
        <f t="shared" si="61"/>
        <v>1</v>
      </c>
      <c r="N1025" s="7">
        <f t="shared" si="62"/>
        <v>0.5</v>
      </c>
      <c r="O1025" s="7">
        <f t="shared" si="63"/>
        <v>-0.69314718055994529</v>
      </c>
    </row>
    <row r="1026" spans="12:15" x14ac:dyDescent="0.15">
      <c r="L1026" s="7">
        <f t="shared" si="60"/>
        <v>0</v>
      </c>
      <c r="M1026" s="7">
        <f t="shared" si="61"/>
        <v>1</v>
      </c>
      <c r="N1026" s="7">
        <f t="shared" si="62"/>
        <v>0.5</v>
      </c>
      <c r="O1026" s="7">
        <f t="shared" si="63"/>
        <v>-0.69314718055994529</v>
      </c>
    </row>
    <row r="1027" spans="12:15" x14ac:dyDescent="0.15">
      <c r="L1027" s="7">
        <f t="shared" ref="L1027:L1090" si="64">$Q$1 + $Q$2*B1027+$Q$3*C1027+ $Q$4*D1027+$Q$5*E1027+$Q$6*F1027+$Q$7*G1027+H1027*$Q$8+I1027*$Q$9+J1027*$Q$10+K1027*$Q$11</f>
        <v>0</v>
      </c>
      <c r="M1027" s="7">
        <f t="shared" ref="M1027:M1090" si="65">EXP(L1027)</f>
        <v>1</v>
      </c>
      <c r="N1027" s="7">
        <f t="shared" ref="N1027:N1090" si="66">1/(1+M1027)</f>
        <v>0.5</v>
      </c>
      <c r="O1027" s="7">
        <f t="shared" ref="O1027:O1090" si="67">A1027*LN(N1027)+(1-A1027)*LN(1-N1027)</f>
        <v>-0.69314718055994529</v>
      </c>
    </row>
    <row r="1028" spans="12:15" x14ac:dyDescent="0.15">
      <c r="L1028" s="7">
        <f t="shared" si="64"/>
        <v>0</v>
      </c>
      <c r="M1028" s="7">
        <f t="shared" si="65"/>
        <v>1</v>
      </c>
      <c r="N1028" s="7">
        <f t="shared" si="66"/>
        <v>0.5</v>
      </c>
      <c r="O1028" s="7">
        <f t="shared" si="67"/>
        <v>-0.69314718055994529</v>
      </c>
    </row>
    <row r="1029" spans="12:15" x14ac:dyDescent="0.15">
      <c r="L1029" s="7">
        <f t="shared" si="64"/>
        <v>0</v>
      </c>
      <c r="M1029" s="7">
        <f t="shared" si="65"/>
        <v>1</v>
      </c>
      <c r="N1029" s="7">
        <f t="shared" si="66"/>
        <v>0.5</v>
      </c>
      <c r="O1029" s="7">
        <f t="shared" si="67"/>
        <v>-0.69314718055994529</v>
      </c>
    </row>
    <row r="1030" spans="12:15" x14ac:dyDescent="0.15">
      <c r="L1030" s="7">
        <f t="shared" si="64"/>
        <v>0</v>
      </c>
      <c r="M1030" s="7">
        <f t="shared" si="65"/>
        <v>1</v>
      </c>
      <c r="N1030" s="7">
        <f t="shared" si="66"/>
        <v>0.5</v>
      </c>
      <c r="O1030" s="7">
        <f t="shared" si="67"/>
        <v>-0.69314718055994529</v>
      </c>
    </row>
    <row r="1031" spans="12:15" x14ac:dyDescent="0.15">
      <c r="L1031" s="7">
        <f t="shared" si="64"/>
        <v>0</v>
      </c>
      <c r="M1031" s="7">
        <f t="shared" si="65"/>
        <v>1</v>
      </c>
      <c r="N1031" s="7">
        <f t="shared" si="66"/>
        <v>0.5</v>
      </c>
      <c r="O1031" s="7">
        <f t="shared" si="67"/>
        <v>-0.69314718055994529</v>
      </c>
    </row>
    <row r="1032" spans="12:15" x14ac:dyDescent="0.15">
      <c r="L1032" s="7">
        <f t="shared" si="64"/>
        <v>0</v>
      </c>
      <c r="M1032" s="7">
        <f t="shared" si="65"/>
        <v>1</v>
      </c>
      <c r="N1032" s="7">
        <f t="shared" si="66"/>
        <v>0.5</v>
      </c>
      <c r="O1032" s="7">
        <f t="shared" si="67"/>
        <v>-0.69314718055994529</v>
      </c>
    </row>
    <row r="1033" spans="12:15" x14ac:dyDescent="0.15">
      <c r="L1033" s="7">
        <f t="shared" si="64"/>
        <v>0</v>
      </c>
      <c r="M1033" s="7">
        <f t="shared" si="65"/>
        <v>1</v>
      </c>
      <c r="N1033" s="7">
        <f t="shared" si="66"/>
        <v>0.5</v>
      </c>
      <c r="O1033" s="7">
        <f t="shared" si="67"/>
        <v>-0.69314718055994529</v>
      </c>
    </row>
    <row r="1034" spans="12:15" x14ac:dyDescent="0.15">
      <c r="L1034" s="7">
        <f t="shared" si="64"/>
        <v>0</v>
      </c>
      <c r="M1034" s="7">
        <f t="shared" si="65"/>
        <v>1</v>
      </c>
      <c r="N1034" s="7">
        <f t="shared" si="66"/>
        <v>0.5</v>
      </c>
      <c r="O1034" s="7">
        <f t="shared" si="67"/>
        <v>-0.69314718055994529</v>
      </c>
    </row>
    <row r="1035" spans="12:15" x14ac:dyDescent="0.15">
      <c r="L1035" s="7">
        <f t="shared" si="64"/>
        <v>0</v>
      </c>
      <c r="M1035" s="7">
        <f t="shared" si="65"/>
        <v>1</v>
      </c>
      <c r="N1035" s="7">
        <f t="shared" si="66"/>
        <v>0.5</v>
      </c>
      <c r="O1035" s="7">
        <f t="shared" si="67"/>
        <v>-0.69314718055994529</v>
      </c>
    </row>
    <row r="1036" spans="12:15" x14ac:dyDescent="0.15">
      <c r="L1036" s="7">
        <f t="shared" si="64"/>
        <v>0</v>
      </c>
      <c r="M1036" s="7">
        <f t="shared" si="65"/>
        <v>1</v>
      </c>
      <c r="N1036" s="7">
        <f t="shared" si="66"/>
        <v>0.5</v>
      </c>
      <c r="O1036" s="7">
        <f t="shared" si="67"/>
        <v>-0.69314718055994529</v>
      </c>
    </row>
    <row r="1037" spans="12:15" x14ac:dyDescent="0.15">
      <c r="L1037" s="7">
        <f t="shared" si="64"/>
        <v>0</v>
      </c>
      <c r="M1037" s="7">
        <f t="shared" si="65"/>
        <v>1</v>
      </c>
      <c r="N1037" s="7">
        <f t="shared" si="66"/>
        <v>0.5</v>
      </c>
      <c r="O1037" s="7">
        <f t="shared" si="67"/>
        <v>-0.69314718055994529</v>
      </c>
    </row>
    <row r="1038" spans="12:15" x14ac:dyDescent="0.15">
      <c r="L1038" s="7">
        <f t="shared" si="64"/>
        <v>0</v>
      </c>
      <c r="M1038" s="7">
        <f t="shared" si="65"/>
        <v>1</v>
      </c>
      <c r="N1038" s="7">
        <f t="shared" si="66"/>
        <v>0.5</v>
      </c>
      <c r="O1038" s="7">
        <f t="shared" si="67"/>
        <v>-0.69314718055994529</v>
      </c>
    </row>
    <row r="1039" spans="12:15" x14ac:dyDescent="0.15">
      <c r="L1039" s="7">
        <f t="shared" si="64"/>
        <v>0</v>
      </c>
      <c r="M1039" s="7">
        <f t="shared" si="65"/>
        <v>1</v>
      </c>
      <c r="N1039" s="7">
        <f t="shared" si="66"/>
        <v>0.5</v>
      </c>
      <c r="O1039" s="7">
        <f t="shared" si="67"/>
        <v>-0.69314718055994529</v>
      </c>
    </row>
    <row r="1040" spans="12:15" x14ac:dyDescent="0.15">
      <c r="L1040" s="7">
        <f t="shared" si="64"/>
        <v>0</v>
      </c>
      <c r="M1040" s="7">
        <f t="shared" si="65"/>
        <v>1</v>
      </c>
      <c r="N1040" s="7">
        <f t="shared" si="66"/>
        <v>0.5</v>
      </c>
      <c r="O1040" s="7">
        <f t="shared" si="67"/>
        <v>-0.69314718055994529</v>
      </c>
    </row>
    <row r="1041" spans="12:15" x14ac:dyDescent="0.15">
      <c r="L1041" s="7">
        <f t="shared" si="64"/>
        <v>0</v>
      </c>
      <c r="M1041" s="7">
        <f t="shared" si="65"/>
        <v>1</v>
      </c>
      <c r="N1041" s="7">
        <f t="shared" si="66"/>
        <v>0.5</v>
      </c>
      <c r="O1041" s="7">
        <f t="shared" si="67"/>
        <v>-0.69314718055994529</v>
      </c>
    </row>
    <row r="1042" spans="12:15" x14ac:dyDescent="0.15">
      <c r="L1042" s="7">
        <f t="shared" si="64"/>
        <v>0</v>
      </c>
      <c r="M1042" s="7">
        <f t="shared" si="65"/>
        <v>1</v>
      </c>
      <c r="N1042" s="7">
        <f t="shared" si="66"/>
        <v>0.5</v>
      </c>
      <c r="O1042" s="7">
        <f t="shared" si="67"/>
        <v>-0.69314718055994529</v>
      </c>
    </row>
    <row r="1043" spans="12:15" x14ac:dyDescent="0.15">
      <c r="L1043" s="7">
        <f t="shared" si="64"/>
        <v>0</v>
      </c>
      <c r="M1043" s="7">
        <f t="shared" si="65"/>
        <v>1</v>
      </c>
      <c r="N1043" s="7">
        <f t="shared" si="66"/>
        <v>0.5</v>
      </c>
      <c r="O1043" s="7">
        <f t="shared" si="67"/>
        <v>-0.69314718055994529</v>
      </c>
    </row>
    <row r="1044" spans="12:15" x14ac:dyDescent="0.15">
      <c r="L1044" s="7">
        <f t="shared" si="64"/>
        <v>0</v>
      </c>
      <c r="M1044" s="7">
        <f t="shared" si="65"/>
        <v>1</v>
      </c>
      <c r="N1044" s="7">
        <f t="shared" si="66"/>
        <v>0.5</v>
      </c>
      <c r="O1044" s="7">
        <f t="shared" si="67"/>
        <v>-0.69314718055994529</v>
      </c>
    </row>
    <row r="1045" spans="12:15" x14ac:dyDescent="0.15">
      <c r="L1045" s="7">
        <f t="shared" si="64"/>
        <v>0</v>
      </c>
      <c r="M1045" s="7">
        <f t="shared" si="65"/>
        <v>1</v>
      </c>
      <c r="N1045" s="7">
        <f t="shared" si="66"/>
        <v>0.5</v>
      </c>
      <c r="O1045" s="7">
        <f t="shared" si="67"/>
        <v>-0.69314718055994529</v>
      </c>
    </row>
    <row r="1046" spans="12:15" x14ac:dyDescent="0.15">
      <c r="L1046" s="7">
        <f t="shared" si="64"/>
        <v>0</v>
      </c>
      <c r="M1046" s="7">
        <f t="shared" si="65"/>
        <v>1</v>
      </c>
      <c r="N1046" s="7">
        <f t="shared" si="66"/>
        <v>0.5</v>
      </c>
      <c r="O1046" s="7">
        <f t="shared" si="67"/>
        <v>-0.69314718055994529</v>
      </c>
    </row>
    <row r="1047" spans="12:15" x14ac:dyDescent="0.15">
      <c r="L1047" s="7">
        <f t="shared" si="64"/>
        <v>0</v>
      </c>
      <c r="M1047" s="7">
        <f t="shared" si="65"/>
        <v>1</v>
      </c>
      <c r="N1047" s="7">
        <f t="shared" si="66"/>
        <v>0.5</v>
      </c>
      <c r="O1047" s="7">
        <f t="shared" si="67"/>
        <v>-0.69314718055994529</v>
      </c>
    </row>
    <row r="1048" spans="12:15" x14ac:dyDescent="0.15">
      <c r="L1048" s="7">
        <f t="shared" si="64"/>
        <v>0</v>
      </c>
      <c r="M1048" s="7">
        <f t="shared" si="65"/>
        <v>1</v>
      </c>
      <c r="N1048" s="7">
        <f t="shared" si="66"/>
        <v>0.5</v>
      </c>
      <c r="O1048" s="7">
        <f t="shared" si="67"/>
        <v>-0.69314718055994529</v>
      </c>
    </row>
    <row r="1049" spans="12:15" x14ac:dyDescent="0.15">
      <c r="L1049" s="7">
        <f t="shared" si="64"/>
        <v>0</v>
      </c>
      <c r="M1049" s="7">
        <f t="shared" si="65"/>
        <v>1</v>
      </c>
      <c r="N1049" s="7">
        <f t="shared" si="66"/>
        <v>0.5</v>
      </c>
      <c r="O1049" s="7">
        <f t="shared" si="67"/>
        <v>-0.69314718055994529</v>
      </c>
    </row>
    <row r="1050" spans="12:15" x14ac:dyDescent="0.15">
      <c r="L1050" s="7">
        <f t="shared" si="64"/>
        <v>0</v>
      </c>
      <c r="M1050" s="7">
        <f t="shared" si="65"/>
        <v>1</v>
      </c>
      <c r="N1050" s="7">
        <f t="shared" si="66"/>
        <v>0.5</v>
      </c>
      <c r="O1050" s="7">
        <f t="shared" si="67"/>
        <v>-0.69314718055994529</v>
      </c>
    </row>
    <row r="1051" spans="12:15" x14ac:dyDescent="0.15">
      <c r="L1051" s="7">
        <f t="shared" si="64"/>
        <v>0</v>
      </c>
      <c r="M1051" s="7">
        <f t="shared" si="65"/>
        <v>1</v>
      </c>
      <c r="N1051" s="7">
        <f t="shared" si="66"/>
        <v>0.5</v>
      </c>
      <c r="O1051" s="7">
        <f t="shared" si="67"/>
        <v>-0.69314718055994529</v>
      </c>
    </row>
    <row r="1052" spans="12:15" x14ac:dyDescent="0.15">
      <c r="L1052" s="7">
        <f t="shared" si="64"/>
        <v>0</v>
      </c>
      <c r="M1052" s="7">
        <f t="shared" si="65"/>
        <v>1</v>
      </c>
      <c r="N1052" s="7">
        <f t="shared" si="66"/>
        <v>0.5</v>
      </c>
      <c r="O1052" s="7">
        <f t="shared" si="67"/>
        <v>-0.69314718055994529</v>
      </c>
    </row>
    <row r="1053" spans="12:15" x14ac:dyDescent="0.15">
      <c r="L1053" s="7">
        <f t="shared" si="64"/>
        <v>0</v>
      </c>
      <c r="M1053" s="7">
        <f t="shared" si="65"/>
        <v>1</v>
      </c>
      <c r="N1053" s="7">
        <f t="shared" si="66"/>
        <v>0.5</v>
      </c>
      <c r="O1053" s="7">
        <f t="shared" si="67"/>
        <v>-0.69314718055994529</v>
      </c>
    </row>
    <row r="1054" spans="12:15" x14ac:dyDescent="0.15">
      <c r="L1054" s="7">
        <f t="shared" si="64"/>
        <v>0</v>
      </c>
      <c r="M1054" s="7">
        <f t="shared" si="65"/>
        <v>1</v>
      </c>
      <c r="N1054" s="7">
        <f t="shared" si="66"/>
        <v>0.5</v>
      </c>
      <c r="O1054" s="7">
        <f t="shared" si="67"/>
        <v>-0.69314718055994529</v>
      </c>
    </row>
    <row r="1055" spans="12:15" x14ac:dyDescent="0.15">
      <c r="L1055" s="7">
        <f t="shared" si="64"/>
        <v>0</v>
      </c>
      <c r="M1055" s="7">
        <f t="shared" si="65"/>
        <v>1</v>
      </c>
      <c r="N1055" s="7">
        <f t="shared" si="66"/>
        <v>0.5</v>
      </c>
      <c r="O1055" s="7">
        <f t="shared" si="67"/>
        <v>-0.69314718055994529</v>
      </c>
    </row>
    <row r="1056" spans="12:15" x14ac:dyDescent="0.15">
      <c r="L1056" s="7">
        <f t="shared" si="64"/>
        <v>0</v>
      </c>
      <c r="M1056" s="7">
        <f t="shared" si="65"/>
        <v>1</v>
      </c>
      <c r="N1056" s="7">
        <f t="shared" si="66"/>
        <v>0.5</v>
      </c>
      <c r="O1056" s="7">
        <f t="shared" si="67"/>
        <v>-0.69314718055994529</v>
      </c>
    </row>
    <row r="1057" spans="12:15" x14ac:dyDescent="0.15">
      <c r="L1057" s="7">
        <f t="shared" si="64"/>
        <v>0</v>
      </c>
      <c r="M1057" s="7">
        <f t="shared" si="65"/>
        <v>1</v>
      </c>
      <c r="N1057" s="7">
        <f t="shared" si="66"/>
        <v>0.5</v>
      </c>
      <c r="O1057" s="7">
        <f t="shared" si="67"/>
        <v>-0.69314718055994529</v>
      </c>
    </row>
    <row r="1058" spans="12:15" x14ac:dyDescent="0.15">
      <c r="L1058" s="7">
        <f t="shared" si="64"/>
        <v>0</v>
      </c>
      <c r="M1058" s="7">
        <f t="shared" si="65"/>
        <v>1</v>
      </c>
      <c r="N1058" s="7">
        <f t="shared" si="66"/>
        <v>0.5</v>
      </c>
      <c r="O1058" s="7">
        <f t="shared" si="67"/>
        <v>-0.69314718055994529</v>
      </c>
    </row>
    <row r="1059" spans="12:15" x14ac:dyDescent="0.15">
      <c r="L1059" s="7">
        <f t="shared" si="64"/>
        <v>0</v>
      </c>
      <c r="M1059" s="7">
        <f t="shared" si="65"/>
        <v>1</v>
      </c>
      <c r="N1059" s="7">
        <f t="shared" si="66"/>
        <v>0.5</v>
      </c>
      <c r="O1059" s="7">
        <f t="shared" si="67"/>
        <v>-0.69314718055994529</v>
      </c>
    </row>
    <row r="1060" spans="12:15" x14ac:dyDescent="0.15">
      <c r="L1060" s="7">
        <f t="shared" si="64"/>
        <v>0</v>
      </c>
      <c r="M1060" s="7">
        <f t="shared" si="65"/>
        <v>1</v>
      </c>
      <c r="N1060" s="7">
        <f t="shared" si="66"/>
        <v>0.5</v>
      </c>
      <c r="O1060" s="7">
        <f t="shared" si="67"/>
        <v>-0.69314718055994529</v>
      </c>
    </row>
    <row r="1061" spans="12:15" x14ac:dyDescent="0.15">
      <c r="L1061" s="7">
        <f t="shared" si="64"/>
        <v>0</v>
      </c>
      <c r="M1061" s="7">
        <f t="shared" si="65"/>
        <v>1</v>
      </c>
      <c r="N1061" s="7">
        <f t="shared" si="66"/>
        <v>0.5</v>
      </c>
      <c r="O1061" s="7">
        <f t="shared" si="67"/>
        <v>-0.69314718055994529</v>
      </c>
    </row>
    <row r="1062" spans="12:15" x14ac:dyDescent="0.15">
      <c r="L1062" s="7">
        <f t="shared" si="64"/>
        <v>0</v>
      </c>
      <c r="M1062" s="7">
        <f t="shared" si="65"/>
        <v>1</v>
      </c>
      <c r="N1062" s="7">
        <f t="shared" si="66"/>
        <v>0.5</v>
      </c>
      <c r="O1062" s="7">
        <f t="shared" si="67"/>
        <v>-0.69314718055994529</v>
      </c>
    </row>
    <row r="1063" spans="12:15" x14ac:dyDescent="0.15">
      <c r="L1063" s="7">
        <f t="shared" si="64"/>
        <v>0</v>
      </c>
      <c r="M1063" s="7">
        <f t="shared" si="65"/>
        <v>1</v>
      </c>
      <c r="N1063" s="7">
        <f t="shared" si="66"/>
        <v>0.5</v>
      </c>
      <c r="O1063" s="7">
        <f t="shared" si="67"/>
        <v>-0.69314718055994529</v>
      </c>
    </row>
    <row r="1064" spans="12:15" x14ac:dyDescent="0.15">
      <c r="L1064" s="7">
        <f t="shared" si="64"/>
        <v>0</v>
      </c>
      <c r="M1064" s="7">
        <f t="shared" si="65"/>
        <v>1</v>
      </c>
      <c r="N1064" s="7">
        <f t="shared" si="66"/>
        <v>0.5</v>
      </c>
      <c r="O1064" s="7">
        <f t="shared" si="67"/>
        <v>-0.69314718055994529</v>
      </c>
    </row>
    <row r="1065" spans="12:15" x14ac:dyDescent="0.15">
      <c r="L1065" s="7">
        <f t="shared" si="64"/>
        <v>0</v>
      </c>
      <c r="M1065" s="7">
        <f t="shared" si="65"/>
        <v>1</v>
      </c>
      <c r="N1065" s="7">
        <f t="shared" si="66"/>
        <v>0.5</v>
      </c>
      <c r="O1065" s="7">
        <f t="shared" si="67"/>
        <v>-0.69314718055994529</v>
      </c>
    </row>
    <row r="1066" spans="12:15" x14ac:dyDescent="0.15">
      <c r="L1066" s="7">
        <f t="shared" si="64"/>
        <v>0</v>
      </c>
      <c r="M1066" s="7">
        <f t="shared" si="65"/>
        <v>1</v>
      </c>
      <c r="N1066" s="7">
        <f t="shared" si="66"/>
        <v>0.5</v>
      </c>
      <c r="O1066" s="7">
        <f t="shared" si="67"/>
        <v>-0.69314718055994529</v>
      </c>
    </row>
    <row r="1067" spans="12:15" x14ac:dyDescent="0.15">
      <c r="L1067" s="7">
        <f t="shared" si="64"/>
        <v>0</v>
      </c>
      <c r="M1067" s="7">
        <f t="shared" si="65"/>
        <v>1</v>
      </c>
      <c r="N1067" s="7">
        <f t="shared" si="66"/>
        <v>0.5</v>
      </c>
      <c r="O1067" s="7">
        <f t="shared" si="67"/>
        <v>-0.69314718055994529</v>
      </c>
    </row>
    <row r="1068" spans="12:15" x14ac:dyDescent="0.15">
      <c r="L1068" s="7">
        <f t="shared" si="64"/>
        <v>0</v>
      </c>
      <c r="M1068" s="7">
        <f t="shared" si="65"/>
        <v>1</v>
      </c>
      <c r="N1068" s="7">
        <f t="shared" si="66"/>
        <v>0.5</v>
      </c>
      <c r="O1068" s="7">
        <f t="shared" si="67"/>
        <v>-0.69314718055994529</v>
      </c>
    </row>
    <row r="1069" spans="12:15" x14ac:dyDescent="0.15">
      <c r="L1069" s="7">
        <f t="shared" si="64"/>
        <v>0</v>
      </c>
      <c r="M1069" s="7">
        <f t="shared" si="65"/>
        <v>1</v>
      </c>
      <c r="N1069" s="7">
        <f t="shared" si="66"/>
        <v>0.5</v>
      </c>
      <c r="O1069" s="7">
        <f t="shared" si="67"/>
        <v>-0.69314718055994529</v>
      </c>
    </row>
    <row r="1070" spans="12:15" x14ac:dyDescent="0.15">
      <c r="L1070" s="7">
        <f t="shared" si="64"/>
        <v>0</v>
      </c>
      <c r="M1070" s="7">
        <f t="shared" si="65"/>
        <v>1</v>
      </c>
      <c r="N1070" s="7">
        <f t="shared" si="66"/>
        <v>0.5</v>
      </c>
      <c r="O1070" s="7">
        <f t="shared" si="67"/>
        <v>-0.69314718055994529</v>
      </c>
    </row>
    <row r="1071" spans="12:15" x14ac:dyDescent="0.15">
      <c r="L1071" s="7">
        <f t="shared" si="64"/>
        <v>0</v>
      </c>
      <c r="M1071" s="7">
        <f t="shared" si="65"/>
        <v>1</v>
      </c>
      <c r="N1071" s="7">
        <f t="shared" si="66"/>
        <v>0.5</v>
      </c>
      <c r="O1071" s="7">
        <f t="shared" si="67"/>
        <v>-0.69314718055994529</v>
      </c>
    </row>
    <row r="1072" spans="12:15" x14ac:dyDescent="0.15">
      <c r="L1072" s="7">
        <f t="shared" si="64"/>
        <v>0</v>
      </c>
      <c r="M1072" s="7">
        <f t="shared" si="65"/>
        <v>1</v>
      </c>
      <c r="N1072" s="7">
        <f t="shared" si="66"/>
        <v>0.5</v>
      </c>
      <c r="O1072" s="7">
        <f t="shared" si="67"/>
        <v>-0.69314718055994529</v>
      </c>
    </row>
    <row r="1073" spans="12:15" x14ac:dyDescent="0.15">
      <c r="L1073" s="7">
        <f t="shared" si="64"/>
        <v>0</v>
      </c>
      <c r="M1073" s="7">
        <f t="shared" si="65"/>
        <v>1</v>
      </c>
      <c r="N1073" s="7">
        <f t="shared" si="66"/>
        <v>0.5</v>
      </c>
      <c r="O1073" s="7">
        <f t="shared" si="67"/>
        <v>-0.69314718055994529</v>
      </c>
    </row>
    <row r="1074" spans="12:15" x14ac:dyDescent="0.15">
      <c r="L1074" s="7">
        <f t="shared" si="64"/>
        <v>0</v>
      </c>
      <c r="M1074" s="7">
        <f t="shared" si="65"/>
        <v>1</v>
      </c>
      <c r="N1074" s="7">
        <f t="shared" si="66"/>
        <v>0.5</v>
      </c>
      <c r="O1074" s="7">
        <f t="shared" si="67"/>
        <v>-0.69314718055994529</v>
      </c>
    </row>
    <row r="1075" spans="12:15" x14ac:dyDescent="0.15">
      <c r="L1075" s="7">
        <f t="shared" si="64"/>
        <v>0</v>
      </c>
      <c r="M1075" s="7">
        <f t="shared" si="65"/>
        <v>1</v>
      </c>
      <c r="N1075" s="7">
        <f t="shared" si="66"/>
        <v>0.5</v>
      </c>
      <c r="O1075" s="7">
        <f t="shared" si="67"/>
        <v>-0.69314718055994529</v>
      </c>
    </row>
    <row r="1076" spans="12:15" x14ac:dyDescent="0.15">
      <c r="L1076" s="7">
        <f t="shared" si="64"/>
        <v>0</v>
      </c>
      <c r="M1076" s="7">
        <f t="shared" si="65"/>
        <v>1</v>
      </c>
      <c r="N1076" s="7">
        <f t="shared" si="66"/>
        <v>0.5</v>
      </c>
      <c r="O1076" s="7">
        <f t="shared" si="67"/>
        <v>-0.69314718055994529</v>
      </c>
    </row>
    <row r="1077" spans="12:15" x14ac:dyDescent="0.15">
      <c r="L1077" s="7">
        <f t="shared" si="64"/>
        <v>0</v>
      </c>
      <c r="M1077" s="7">
        <f t="shared" si="65"/>
        <v>1</v>
      </c>
      <c r="N1077" s="7">
        <f t="shared" si="66"/>
        <v>0.5</v>
      </c>
      <c r="O1077" s="7">
        <f t="shared" si="67"/>
        <v>-0.69314718055994529</v>
      </c>
    </row>
    <row r="1078" spans="12:15" x14ac:dyDescent="0.15">
      <c r="L1078" s="7">
        <f t="shared" si="64"/>
        <v>0</v>
      </c>
      <c r="M1078" s="7">
        <f t="shared" si="65"/>
        <v>1</v>
      </c>
      <c r="N1078" s="7">
        <f t="shared" si="66"/>
        <v>0.5</v>
      </c>
      <c r="O1078" s="7">
        <f t="shared" si="67"/>
        <v>-0.69314718055994529</v>
      </c>
    </row>
    <row r="1079" spans="12:15" x14ac:dyDescent="0.15">
      <c r="L1079" s="7">
        <f t="shared" si="64"/>
        <v>0</v>
      </c>
      <c r="M1079" s="7">
        <f t="shared" si="65"/>
        <v>1</v>
      </c>
      <c r="N1079" s="7">
        <f t="shared" si="66"/>
        <v>0.5</v>
      </c>
      <c r="O1079" s="7">
        <f t="shared" si="67"/>
        <v>-0.69314718055994529</v>
      </c>
    </row>
    <row r="1080" spans="12:15" x14ac:dyDescent="0.15">
      <c r="L1080" s="7">
        <f t="shared" si="64"/>
        <v>0</v>
      </c>
      <c r="M1080" s="7">
        <f t="shared" si="65"/>
        <v>1</v>
      </c>
      <c r="N1080" s="7">
        <f t="shared" si="66"/>
        <v>0.5</v>
      </c>
      <c r="O1080" s="7">
        <f t="shared" si="67"/>
        <v>-0.69314718055994529</v>
      </c>
    </row>
    <row r="1081" spans="12:15" x14ac:dyDescent="0.15">
      <c r="L1081" s="7">
        <f t="shared" si="64"/>
        <v>0</v>
      </c>
      <c r="M1081" s="7">
        <f t="shared" si="65"/>
        <v>1</v>
      </c>
      <c r="N1081" s="7">
        <f t="shared" si="66"/>
        <v>0.5</v>
      </c>
      <c r="O1081" s="7">
        <f t="shared" si="67"/>
        <v>-0.69314718055994529</v>
      </c>
    </row>
    <row r="1082" spans="12:15" x14ac:dyDescent="0.15">
      <c r="L1082" s="7">
        <f t="shared" si="64"/>
        <v>0</v>
      </c>
      <c r="M1082" s="7">
        <f t="shared" si="65"/>
        <v>1</v>
      </c>
      <c r="N1082" s="7">
        <f t="shared" si="66"/>
        <v>0.5</v>
      </c>
      <c r="O1082" s="7">
        <f t="shared" si="67"/>
        <v>-0.69314718055994529</v>
      </c>
    </row>
    <row r="1083" spans="12:15" x14ac:dyDescent="0.15">
      <c r="L1083" s="7">
        <f t="shared" si="64"/>
        <v>0</v>
      </c>
      <c r="M1083" s="7">
        <f t="shared" si="65"/>
        <v>1</v>
      </c>
      <c r="N1083" s="7">
        <f t="shared" si="66"/>
        <v>0.5</v>
      </c>
      <c r="O1083" s="7">
        <f t="shared" si="67"/>
        <v>-0.69314718055994529</v>
      </c>
    </row>
    <row r="1084" spans="12:15" x14ac:dyDescent="0.15">
      <c r="L1084" s="7">
        <f t="shared" si="64"/>
        <v>0</v>
      </c>
      <c r="M1084" s="7">
        <f t="shared" si="65"/>
        <v>1</v>
      </c>
      <c r="N1084" s="7">
        <f t="shared" si="66"/>
        <v>0.5</v>
      </c>
      <c r="O1084" s="7">
        <f t="shared" si="67"/>
        <v>-0.69314718055994529</v>
      </c>
    </row>
    <row r="1085" spans="12:15" x14ac:dyDescent="0.15">
      <c r="L1085" s="7">
        <f t="shared" si="64"/>
        <v>0</v>
      </c>
      <c r="M1085" s="7">
        <f t="shared" si="65"/>
        <v>1</v>
      </c>
      <c r="N1085" s="7">
        <f t="shared" si="66"/>
        <v>0.5</v>
      </c>
      <c r="O1085" s="7">
        <f t="shared" si="67"/>
        <v>-0.69314718055994529</v>
      </c>
    </row>
    <row r="1086" spans="12:15" x14ac:dyDescent="0.15">
      <c r="L1086" s="7">
        <f t="shared" si="64"/>
        <v>0</v>
      </c>
      <c r="M1086" s="7">
        <f t="shared" si="65"/>
        <v>1</v>
      </c>
      <c r="N1086" s="7">
        <f t="shared" si="66"/>
        <v>0.5</v>
      </c>
      <c r="O1086" s="7">
        <f t="shared" si="67"/>
        <v>-0.69314718055994529</v>
      </c>
    </row>
    <row r="1087" spans="12:15" x14ac:dyDescent="0.15">
      <c r="L1087" s="7">
        <f t="shared" si="64"/>
        <v>0</v>
      </c>
      <c r="M1087" s="7">
        <f t="shared" si="65"/>
        <v>1</v>
      </c>
      <c r="N1087" s="7">
        <f t="shared" si="66"/>
        <v>0.5</v>
      </c>
      <c r="O1087" s="7">
        <f t="shared" si="67"/>
        <v>-0.69314718055994529</v>
      </c>
    </row>
    <row r="1088" spans="12:15" x14ac:dyDescent="0.15">
      <c r="L1088" s="7">
        <f t="shared" si="64"/>
        <v>0</v>
      </c>
      <c r="M1088" s="7">
        <f t="shared" si="65"/>
        <v>1</v>
      </c>
      <c r="N1088" s="7">
        <f t="shared" si="66"/>
        <v>0.5</v>
      </c>
      <c r="O1088" s="7">
        <f t="shared" si="67"/>
        <v>-0.69314718055994529</v>
      </c>
    </row>
    <row r="1089" spans="12:15" x14ac:dyDescent="0.15">
      <c r="L1089" s="7">
        <f t="shared" si="64"/>
        <v>0</v>
      </c>
      <c r="M1089" s="7">
        <f t="shared" si="65"/>
        <v>1</v>
      </c>
      <c r="N1089" s="7">
        <f t="shared" si="66"/>
        <v>0.5</v>
      </c>
      <c r="O1089" s="7">
        <f t="shared" si="67"/>
        <v>-0.69314718055994529</v>
      </c>
    </row>
    <row r="1090" spans="12:15" x14ac:dyDescent="0.15">
      <c r="L1090" s="7">
        <f t="shared" si="64"/>
        <v>0</v>
      </c>
      <c r="M1090" s="7">
        <f t="shared" si="65"/>
        <v>1</v>
      </c>
      <c r="N1090" s="7">
        <f t="shared" si="66"/>
        <v>0.5</v>
      </c>
      <c r="O1090" s="7">
        <f t="shared" si="67"/>
        <v>-0.69314718055994529</v>
      </c>
    </row>
    <row r="1091" spans="12:15" x14ac:dyDescent="0.15">
      <c r="L1091" s="7">
        <f t="shared" ref="L1091:L1154" si="68">$Q$1 + $Q$2*B1091+$Q$3*C1091+ $Q$4*D1091+$Q$5*E1091+$Q$6*F1091+$Q$7*G1091+H1091*$Q$8+I1091*$Q$9+J1091*$Q$10+K1091*$Q$11</f>
        <v>0</v>
      </c>
      <c r="M1091" s="7">
        <f t="shared" ref="M1091:M1154" si="69">EXP(L1091)</f>
        <v>1</v>
      </c>
      <c r="N1091" s="7">
        <f t="shared" ref="N1091:N1154" si="70">1/(1+M1091)</f>
        <v>0.5</v>
      </c>
      <c r="O1091" s="7">
        <f t="shared" ref="O1091:O1154" si="71">A1091*LN(N1091)+(1-A1091)*LN(1-N1091)</f>
        <v>-0.69314718055994529</v>
      </c>
    </row>
    <row r="1092" spans="12:15" x14ac:dyDescent="0.15">
      <c r="L1092" s="7">
        <f t="shared" si="68"/>
        <v>0</v>
      </c>
      <c r="M1092" s="7">
        <f t="shared" si="69"/>
        <v>1</v>
      </c>
      <c r="N1092" s="7">
        <f t="shared" si="70"/>
        <v>0.5</v>
      </c>
      <c r="O1092" s="7">
        <f t="shared" si="71"/>
        <v>-0.69314718055994529</v>
      </c>
    </row>
    <row r="1093" spans="12:15" x14ac:dyDescent="0.15">
      <c r="L1093" s="7">
        <f t="shared" si="68"/>
        <v>0</v>
      </c>
      <c r="M1093" s="7">
        <f t="shared" si="69"/>
        <v>1</v>
      </c>
      <c r="N1093" s="7">
        <f t="shared" si="70"/>
        <v>0.5</v>
      </c>
      <c r="O1093" s="7">
        <f t="shared" si="71"/>
        <v>-0.69314718055994529</v>
      </c>
    </row>
    <row r="1094" spans="12:15" x14ac:dyDescent="0.15">
      <c r="L1094" s="7">
        <f t="shared" si="68"/>
        <v>0</v>
      </c>
      <c r="M1094" s="7">
        <f t="shared" si="69"/>
        <v>1</v>
      </c>
      <c r="N1094" s="7">
        <f t="shared" si="70"/>
        <v>0.5</v>
      </c>
      <c r="O1094" s="7">
        <f t="shared" si="71"/>
        <v>-0.69314718055994529</v>
      </c>
    </row>
    <row r="1095" spans="12:15" x14ac:dyDescent="0.15">
      <c r="L1095" s="7">
        <f t="shared" si="68"/>
        <v>0</v>
      </c>
      <c r="M1095" s="7">
        <f t="shared" si="69"/>
        <v>1</v>
      </c>
      <c r="N1095" s="7">
        <f t="shared" si="70"/>
        <v>0.5</v>
      </c>
      <c r="O1095" s="7">
        <f t="shared" si="71"/>
        <v>-0.69314718055994529</v>
      </c>
    </row>
    <row r="1096" spans="12:15" x14ac:dyDescent="0.15">
      <c r="L1096" s="7">
        <f t="shared" si="68"/>
        <v>0</v>
      </c>
      <c r="M1096" s="7">
        <f t="shared" si="69"/>
        <v>1</v>
      </c>
      <c r="N1096" s="7">
        <f t="shared" si="70"/>
        <v>0.5</v>
      </c>
      <c r="O1096" s="7">
        <f t="shared" si="71"/>
        <v>-0.69314718055994529</v>
      </c>
    </row>
    <row r="1097" spans="12:15" x14ac:dyDescent="0.15">
      <c r="L1097" s="7">
        <f t="shared" si="68"/>
        <v>0</v>
      </c>
      <c r="M1097" s="7">
        <f t="shared" si="69"/>
        <v>1</v>
      </c>
      <c r="N1097" s="7">
        <f t="shared" si="70"/>
        <v>0.5</v>
      </c>
      <c r="O1097" s="7">
        <f t="shared" si="71"/>
        <v>-0.69314718055994529</v>
      </c>
    </row>
    <row r="1098" spans="12:15" x14ac:dyDescent="0.15">
      <c r="L1098" s="7">
        <f t="shared" si="68"/>
        <v>0</v>
      </c>
      <c r="M1098" s="7">
        <f t="shared" si="69"/>
        <v>1</v>
      </c>
      <c r="N1098" s="7">
        <f t="shared" si="70"/>
        <v>0.5</v>
      </c>
      <c r="O1098" s="7">
        <f t="shared" si="71"/>
        <v>-0.69314718055994529</v>
      </c>
    </row>
    <row r="1099" spans="12:15" x14ac:dyDescent="0.15">
      <c r="L1099" s="7">
        <f t="shared" si="68"/>
        <v>0</v>
      </c>
      <c r="M1099" s="7">
        <f t="shared" si="69"/>
        <v>1</v>
      </c>
      <c r="N1099" s="7">
        <f t="shared" si="70"/>
        <v>0.5</v>
      </c>
      <c r="O1099" s="7">
        <f t="shared" si="71"/>
        <v>-0.69314718055994529</v>
      </c>
    </row>
    <row r="1100" spans="12:15" x14ac:dyDescent="0.15">
      <c r="L1100" s="7">
        <f t="shared" si="68"/>
        <v>0</v>
      </c>
      <c r="M1100" s="7">
        <f t="shared" si="69"/>
        <v>1</v>
      </c>
      <c r="N1100" s="7">
        <f t="shared" si="70"/>
        <v>0.5</v>
      </c>
      <c r="O1100" s="7">
        <f t="shared" si="71"/>
        <v>-0.69314718055994529</v>
      </c>
    </row>
    <row r="1101" spans="12:15" x14ac:dyDescent="0.15">
      <c r="L1101" s="7">
        <f t="shared" si="68"/>
        <v>0</v>
      </c>
      <c r="M1101" s="7">
        <f t="shared" si="69"/>
        <v>1</v>
      </c>
      <c r="N1101" s="7">
        <f t="shared" si="70"/>
        <v>0.5</v>
      </c>
      <c r="O1101" s="7">
        <f t="shared" si="71"/>
        <v>-0.69314718055994529</v>
      </c>
    </row>
    <row r="1102" spans="12:15" x14ac:dyDescent="0.15">
      <c r="L1102" s="7">
        <f t="shared" si="68"/>
        <v>0</v>
      </c>
      <c r="M1102" s="7">
        <f t="shared" si="69"/>
        <v>1</v>
      </c>
      <c r="N1102" s="7">
        <f t="shared" si="70"/>
        <v>0.5</v>
      </c>
      <c r="O1102" s="7">
        <f t="shared" si="71"/>
        <v>-0.69314718055994529</v>
      </c>
    </row>
    <row r="1103" spans="12:15" x14ac:dyDescent="0.15">
      <c r="L1103" s="7">
        <f t="shared" si="68"/>
        <v>0</v>
      </c>
      <c r="M1103" s="7">
        <f t="shared" si="69"/>
        <v>1</v>
      </c>
      <c r="N1103" s="7">
        <f t="shared" si="70"/>
        <v>0.5</v>
      </c>
      <c r="O1103" s="7">
        <f t="shared" si="71"/>
        <v>-0.69314718055994529</v>
      </c>
    </row>
    <row r="1104" spans="12:15" x14ac:dyDescent="0.15">
      <c r="L1104" s="7">
        <f t="shared" si="68"/>
        <v>0</v>
      </c>
      <c r="M1104" s="7">
        <f t="shared" si="69"/>
        <v>1</v>
      </c>
      <c r="N1104" s="7">
        <f t="shared" si="70"/>
        <v>0.5</v>
      </c>
      <c r="O1104" s="7">
        <f t="shared" si="71"/>
        <v>-0.69314718055994529</v>
      </c>
    </row>
    <row r="1105" spans="12:15" x14ac:dyDescent="0.15">
      <c r="L1105" s="7">
        <f t="shared" si="68"/>
        <v>0</v>
      </c>
      <c r="M1105" s="7">
        <f t="shared" si="69"/>
        <v>1</v>
      </c>
      <c r="N1105" s="7">
        <f t="shared" si="70"/>
        <v>0.5</v>
      </c>
      <c r="O1105" s="7">
        <f t="shared" si="71"/>
        <v>-0.69314718055994529</v>
      </c>
    </row>
    <row r="1106" spans="12:15" x14ac:dyDescent="0.15">
      <c r="L1106" s="7">
        <f t="shared" si="68"/>
        <v>0</v>
      </c>
      <c r="M1106" s="7">
        <f t="shared" si="69"/>
        <v>1</v>
      </c>
      <c r="N1106" s="7">
        <f t="shared" si="70"/>
        <v>0.5</v>
      </c>
      <c r="O1106" s="7">
        <f t="shared" si="71"/>
        <v>-0.69314718055994529</v>
      </c>
    </row>
    <row r="1107" spans="12:15" x14ac:dyDescent="0.15">
      <c r="L1107" s="7">
        <f t="shared" si="68"/>
        <v>0</v>
      </c>
      <c r="M1107" s="7">
        <f t="shared" si="69"/>
        <v>1</v>
      </c>
      <c r="N1107" s="7">
        <f t="shared" si="70"/>
        <v>0.5</v>
      </c>
      <c r="O1107" s="7">
        <f t="shared" si="71"/>
        <v>-0.69314718055994529</v>
      </c>
    </row>
    <row r="1108" spans="12:15" x14ac:dyDescent="0.15">
      <c r="L1108" s="7">
        <f t="shared" si="68"/>
        <v>0</v>
      </c>
      <c r="M1108" s="7">
        <f t="shared" si="69"/>
        <v>1</v>
      </c>
      <c r="N1108" s="7">
        <f t="shared" si="70"/>
        <v>0.5</v>
      </c>
      <c r="O1108" s="7">
        <f t="shared" si="71"/>
        <v>-0.69314718055994529</v>
      </c>
    </row>
    <row r="1109" spans="12:15" x14ac:dyDescent="0.15">
      <c r="L1109" s="7">
        <f t="shared" si="68"/>
        <v>0</v>
      </c>
      <c r="M1109" s="7">
        <f t="shared" si="69"/>
        <v>1</v>
      </c>
      <c r="N1109" s="7">
        <f t="shared" si="70"/>
        <v>0.5</v>
      </c>
      <c r="O1109" s="7">
        <f t="shared" si="71"/>
        <v>-0.69314718055994529</v>
      </c>
    </row>
    <row r="1110" spans="12:15" x14ac:dyDescent="0.15">
      <c r="L1110" s="7">
        <f t="shared" si="68"/>
        <v>0</v>
      </c>
      <c r="M1110" s="7">
        <f t="shared" si="69"/>
        <v>1</v>
      </c>
      <c r="N1110" s="7">
        <f t="shared" si="70"/>
        <v>0.5</v>
      </c>
      <c r="O1110" s="7">
        <f t="shared" si="71"/>
        <v>-0.69314718055994529</v>
      </c>
    </row>
    <row r="1111" spans="12:15" x14ac:dyDescent="0.15">
      <c r="L1111" s="7">
        <f t="shared" si="68"/>
        <v>0</v>
      </c>
      <c r="M1111" s="7">
        <f t="shared" si="69"/>
        <v>1</v>
      </c>
      <c r="N1111" s="7">
        <f t="shared" si="70"/>
        <v>0.5</v>
      </c>
      <c r="O1111" s="7">
        <f t="shared" si="71"/>
        <v>-0.69314718055994529</v>
      </c>
    </row>
    <row r="1112" spans="12:15" x14ac:dyDescent="0.15">
      <c r="L1112" s="7">
        <f t="shared" si="68"/>
        <v>0</v>
      </c>
      <c r="M1112" s="7">
        <f t="shared" si="69"/>
        <v>1</v>
      </c>
      <c r="N1112" s="7">
        <f t="shared" si="70"/>
        <v>0.5</v>
      </c>
      <c r="O1112" s="7">
        <f t="shared" si="71"/>
        <v>-0.69314718055994529</v>
      </c>
    </row>
    <row r="1113" spans="12:15" x14ac:dyDescent="0.15">
      <c r="L1113" s="7">
        <f t="shared" si="68"/>
        <v>0</v>
      </c>
      <c r="M1113" s="7">
        <f t="shared" si="69"/>
        <v>1</v>
      </c>
      <c r="N1113" s="7">
        <f t="shared" si="70"/>
        <v>0.5</v>
      </c>
      <c r="O1113" s="7">
        <f t="shared" si="71"/>
        <v>-0.69314718055994529</v>
      </c>
    </row>
    <row r="1114" spans="12:15" x14ac:dyDescent="0.15">
      <c r="L1114" s="7">
        <f t="shared" si="68"/>
        <v>0</v>
      </c>
      <c r="M1114" s="7">
        <f t="shared" si="69"/>
        <v>1</v>
      </c>
      <c r="N1114" s="7">
        <f t="shared" si="70"/>
        <v>0.5</v>
      </c>
      <c r="O1114" s="7">
        <f t="shared" si="71"/>
        <v>-0.69314718055994529</v>
      </c>
    </row>
    <row r="1115" spans="12:15" x14ac:dyDescent="0.15">
      <c r="L1115" s="7">
        <f t="shared" si="68"/>
        <v>0</v>
      </c>
      <c r="M1115" s="7">
        <f t="shared" si="69"/>
        <v>1</v>
      </c>
      <c r="N1115" s="7">
        <f t="shared" si="70"/>
        <v>0.5</v>
      </c>
      <c r="O1115" s="7">
        <f t="shared" si="71"/>
        <v>-0.69314718055994529</v>
      </c>
    </row>
    <row r="1116" spans="12:15" x14ac:dyDescent="0.15">
      <c r="L1116" s="7">
        <f t="shared" si="68"/>
        <v>0</v>
      </c>
      <c r="M1116" s="7">
        <f t="shared" si="69"/>
        <v>1</v>
      </c>
      <c r="N1116" s="7">
        <f t="shared" si="70"/>
        <v>0.5</v>
      </c>
      <c r="O1116" s="7">
        <f t="shared" si="71"/>
        <v>-0.69314718055994529</v>
      </c>
    </row>
    <row r="1117" spans="12:15" x14ac:dyDescent="0.15">
      <c r="L1117" s="7">
        <f t="shared" si="68"/>
        <v>0</v>
      </c>
      <c r="M1117" s="7">
        <f t="shared" si="69"/>
        <v>1</v>
      </c>
      <c r="N1117" s="7">
        <f t="shared" si="70"/>
        <v>0.5</v>
      </c>
      <c r="O1117" s="7">
        <f t="shared" si="71"/>
        <v>-0.69314718055994529</v>
      </c>
    </row>
    <row r="1118" spans="12:15" x14ac:dyDescent="0.15">
      <c r="L1118" s="7">
        <f t="shared" si="68"/>
        <v>0</v>
      </c>
      <c r="M1118" s="7">
        <f t="shared" si="69"/>
        <v>1</v>
      </c>
      <c r="N1118" s="7">
        <f t="shared" si="70"/>
        <v>0.5</v>
      </c>
      <c r="O1118" s="7">
        <f t="shared" si="71"/>
        <v>-0.69314718055994529</v>
      </c>
    </row>
    <row r="1119" spans="12:15" x14ac:dyDescent="0.15">
      <c r="L1119" s="7">
        <f t="shared" si="68"/>
        <v>0</v>
      </c>
      <c r="M1119" s="7">
        <f t="shared" si="69"/>
        <v>1</v>
      </c>
      <c r="N1119" s="7">
        <f t="shared" si="70"/>
        <v>0.5</v>
      </c>
      <c r="O1119" s="7">
        <f t="shared" si="71"/>
        <v>-0.69314718055994529</v>
      </c>
    </row>
    <row r="1120" spans="12:15" x14ac:dyDescent="0.15">
      <c r="L1120" s="7">
        <f t="shared" si="68"/>
        <v>0</v>
      </c>
      <c r="M1120" s="7">
        <f t="shared" si="69"/>
        <v>1</v>
      </c>
      <c r="N1120" s="7">
        <f t="shared" si="70"/>
        <v>0.5</v>
      </c>
      <c r="O1120" s="7">
        <f t="shared" si="71"/>
        <v>-0.69314718055994529</v>
      </c>
    </row>
    <row r="1121" spans="12:15" x14ac:dyDescent="0.15">
      <c r="L1121" s="7">
        <f t="shared" si="68"/>
        <v>0</v>
      </c>
      <c r="M1121" s="7">
        <f t="shared" si="69"/>
        <v>1</v>
      </c>
      <c r="N1121" s="7">
        <f t="shared" si="70"/>
        <v>0.5</v>
      </c>
      <c r="O1121" s="7">
        <f t="shared" si="71"/>
        <v>-0.69314718055994529</v>
      </c>
    </row>
    <row r="1122" spans="12:15" x14ac:dyDescent="0.15">
      <c r="L1122" s="7">
        <f t="shared" si="68"/>
        <v>0</v>
      </c>
      <c r="M1122" s="7">
        <f t="shared" si="69"/>
        <v>1</v>
      </c>
      <c r="N1122" s="7">
        <f t="shared" si="70"/>
        <v>0.5</v>
      </c>
      <c r="O1122" s="7">
        <f t="shared" si="71"/>
        <v>-0.69314718055994529</v>
      </c>
    </row>
    <row r="1123" spans="12:15" x14ac:dyDescent="0.15">
      <c r="L1123" s="7">
        <f t="shared" si="68"/>
        <v>0</v>
      </c>
      <c r="M1123" s="7">
        <f t="shared" si="69"/>
        <v>1</v>
      </c>
      <c r="N1123" s="7">
        <f t="shared" si="70"/>
        <v>0.5</v>
      </c>
      <c r="O1123" s="7">
        <f t="shared" si="71"/>
        <v>-0.69314718055994529</v>
      </c>
    </row>
    <row r="1124" spans="12:15" x14ac:dyDescent="0.15">
      <c r="L1124" s="7">
        <f t="shared" si="68"/>
        <v>0</v>
      </c>
      <c r="M1124" s="7">
        <f t="shared" si="69"/>
        <v>1</v>
      </c>
      <c r="N1124" s="7">
        <f t="shared" si="70"/>
        <v>0.5</v>
      </c>
      <c r="O1124" s="7">
        <f t="shared" si="71"/>
        <v>-0.69314718055994529</v>
      </c>
    </row>
    <row r="1125" spans="12:15" x14ac:dyDescent="0.15">
      <c r="L1125" s="7">
        <f t="shared" si="68"/>
        <v>0</v>
      </c>
      <c r="M1125" s="7">
        <f t="shared" si="69"/>
        <v>1</v>
      </c>
      <c r="N1125" s="7">
        <f t="shared" si="70"/>
        <v>0.5</v>
      </c>
      <c r="O1125" s="7">
        <f t="shared" si="71"/>
        <v>-0.69314718055994529</v>
      </c>
    </row>
    <row r="1126" spans="12:15" x14ac:dyDescent="0.15">
      <c r="L1126" s="7">
        <f t="shared" si="68"/>
        <v>0</v>
      </c>
      <c r="M1126" s="7">
        <f t="shared" si="69"/>
        <v>1</v>
      </c>
      <c r="N1126" s="7">
        <f t="shared" si="70"/>
        <v>0.5</v>
      </c>
      <c r="O1126" s="7">
        <f t="shared" si="71"/>
        <v>-0.69314718055994529</v>
      </c>
    </row>
    <row r="1127" spans="12:15" x14ac:dyDescent="0.15">
      <c r="L1127" s="7">
        <f t="shared" si="68"/>
        <v>0</v>
      </c>
      <c r="M1127" s="7">
        <f t="shared" si="69"/>
        <v>1</v>
      </c>
      <c r="N1127" s="7">
        <f t="shared" si="70"/>
        <v>0.5</v>
      </c>
      <c r="O1127" s="7">
        <f t="shared" si="71"/>
        <v>-0.69314718055994529</v>
      </c>
    </row>
    <row r="1128" spans="12:15" x14ac:dyDescent="0.15">
      <c r="L1128" s="7">
        <f t="shared" si="68"/>
        <v>0</v>
      </c>
      <c r="M1128" s="7">
        <f t="shared" si="69"/>
        <v>1</v>
      </c>
      <c r="N1128" s="7">
        <f t="shared" si="70"/>
        <v>0.5</v>
      </c>
      <c r="O1128" s="7">
        <f t="shared" si="71"/>
        <v>-0.69314718055994529</v>
      </c>
    </row>
    <row r="1129" spans="12:15" x14ac:dyDescent="0.15">
      <c r="L1129" s="7">
        <f t="shared" si="68"/>
        <v>0</v>
      </c>
      <c r="M1129" s="7">
        <f t="shared" si="69"/>
        <v>1</v>
      </c>
      <c r="N1129" s="7">
        <f t="shared" si="70"/>
        <v>0.5</v>
      </c>
      <c r="O1129" s="7">
        <f t="shared" si="71"/>
        <v>-0.69314718055994529</v>
      </c>
    </row>
    <row r="1130" spans="12:15" x14ac:dyDescent="0.15">
      <c r="L1130" s="7">
        <f t="shared" si="68"/>
        <v>0</v>
      </c>
      <c r="M1130" s="7">
        <f t="shared" si="69"/>
        <v>1</v>
      </c>
      <c r="N1130" s="7">
        <f t="shared" si="70"/>
        <v>0.5</v>
      </c>
      <c r="O1130" s="7">
        <f t="shared" si="71"/>
        <v>-0.69314718055994529</v>
      </c>
    </row>
    <row r="1131" spans="12:15" x14ac:dyDescent="0.15">
      <c r="L1131" s="7">
        <f t="shared" si="68"/>
        <v>0</v>
      </c>
      <c r="M1131" s="7">
        <f t="shared" si="69"/>
        <v>1</v>
      </c>
      <c r="N1131" s="7">
        <f t="shared" si="70"/>
        <v>0.5</v>
      </c>
      <c r="O1131" s="7">
        <f t="shared" si="71"/>
        <v>-0.69314718055994529</v>
      </c>
    </row>
    <row r="1132" spans="12:15" x14ac:dyDescent="0.15">
      <c r="L1132" s="7">
        <f t="shared" si="68"/>
        <v>0</v>
      </c>
      <c r="M1132" s="7">
        <f t="shared" si="69"/>
        <v>1</v>
      </c>
      <c r="N1132" s="7">
        <f t="shared" si="70"/>
        <v>0.5</v>
      </c>
      <c r="O1132" s="7">
        <f t="shared" si="71"/>
        <v>-0.69314718055994529</v>
      </c>
    </row>
    <row r="1133" spans="12:15" x14ac:dyDescent="0.15">
      <c r="L1133" s="7">
        <f t="shared" si="68"/>
        <v>0</v>
      </c>
      <c r="M1133" s="7">
        <f t="shared" si="69"/>
        <v>1</v>
      </c>
      <c r="N1133" s="7">
        <f t="shared" si="70"/>
        <v>0.5</v>
      </c>
      <c r="O1133" s="7">
        <f t="shared" si="71"/>
        <v>-0.69314718055994529</v>
      </c>
    </row>
    <row r="1134" spans="12:15" x14ac:dyDescent="0.15">
      <c r="L1134" s="7">
        <f t="shared" si="68"/>
        <v>0</v>
      </c>
      <c r="M1134" s="7">
        <f t="shared" si="69"/>
        <v>1</v>
      </c>
      <c r="N1134" s="7">
        <f t="shared" si="70"/>
        <v>0.5</v>
      </c>
      <c r="O1134" s="7">
        <f t="shared" si="71"/>
        <v>-0.69314718055994529</v>
      </c>
    </row>
    <row r="1135" spans="12:15" x14ac:dyDescent="0.15">
      <c r="L1135" s="7">
        <f t="shared" si="68"/>
        <v>0</v>
      </c>
      <c r="M1135" s="7">
        <f t="shared" si="69"/>
        <v>1</v>
      </c>
      <c r="N1135" s="7">
        <f t="shared" si="70"/>
        <v>0.5</v>
      </c>
      <c r="O1135" s="7">
        <f t="shared" si="71"/>
        <v>-0.69314718055994529</v>
      </c>
    </row>
    <row r="1136" spans="12:15" x14ac:dyDescent="0.15">
      <c r="L1136" s="7">
        <f t="shared" si="68"/>
        <v>0</v>
      </c>
      <c r="M1136" s="7">
        <f t="shared" si="69"/>
        <v>1</v>
      </c>
      <c r="N1136" s="7">
        <f t="shared" si="70"/>
        <v>0.5</v>
      </c>
      <c r="O1136" s="7">
        <f t="shared" si="71"/>
        <v>-0.69314718055994529</v>
      </c>
    </row>
    <row r="1137" spans="12:15" x14ac:dyDescent="0.15">
      <c r="L1137" s="7">
        <f t="shared" si="68"/>
        <v>0</v>
      </c>
      <c r="M1137" s="7">
        <f t="shared" si="69"/>
        <v>1</v>
      </c>
      <c r="N1137" s="7">
        <f t="shared" si="70"/>
        <v>0.5</v>
      </c>
      <c r="O1137" s="7">
        <f t="shared" si="71"/>
        <v>-0.69314718055994529</v>
      </c>
    </row>
    <row r="1138" spans="12:15" x14ac:dyDescent="0.15">
      <c r="L1138" s="7">
        <f t="shared" si="68"/>
        <v>0</v>
      </c>
      <c r="M1138" s="7">
        <f t="shared" si="69"/>
        <v>1</v>
      </c>
      <c r="N1138" s="7">
        <f t="shared" si="70"/>
        <v>0.5</v>
      </c>
      <c r="O1138" s="7">
        <f t="shared" si="71"/>
        <v>-0.69314718055994529</v>
      </c>
    </row>
    <row r="1139" spans="12:15" x14ac:dyDescent="0.15">
      <c r="L1139" s="7">
        <f t="shared" si="68"/>
        <v>0</v>
      </c>
      <c r="M1139" s="7">
        <f t="shared" si="69"/>
        <v>1</v>
      </c>
      <c r="N1139" s="7">
        <f t="shared" si="70"/>
        <v>0.5</v>
      </c>
      <c r="O1139" s="7">
        <f t="shared" si="71"/>
        <v>-0.69314718055994529</v>
      </c>
    </row>
    <row r="1140" spans="12:15" x14ac:dyDescent="0.15">
      <c r="L1140" s="7">
        <f t="shared" si="68"/>
        <v>0</v>
      </c>
      <c r="M1140" s="7">
        <f t="shared" si="69"/>
        <v>1</v>
      </c>
      <c r="N1140" s="7">
        <f t="shared" si="70"/>
        <v>0.5</v>
      </c>
      <c r="O1140" s="7">
        <f t="shared" si="71"/>
        <v>-0.69314718055994529</v>
      </c>
    </row>
    <row r="1141" spans="12:15" x14ac:dyDescent="0.15">
      <c r="L1141" s="7">
        <f t="shared" si="68"/>
        <v>0</v>
      </c>
      <c r="M1141" s="7">
        <f t="shared" si="69"/>
        <v>1</v>
      </c>
      <c r="N1141" s="7">
        <f t="shared" si="70"/>
        <v>0.5</v>
      </c>
      <c r="O1141" s="7">
        <f t="shared" si="71"/>
        <v>-0.69314718055994529</v>
      </c>
    </row>
    <row r="1142" spans="12:15" x14ac:dyDescent="0.15">
      <c r="L1142" s="7">
        <f t="shared" si="68"/>
        <v>0</v>
      </c>
      <c r="M1142" s="7">
        <f t="shared" si="69"/>
        <v>1</v>
      </c>
      <c r="N1142" s="7">
        <f t="shared" si="70"/>
        <v>0.5</v>
      </c>
      <c r="O1142" s="7">
        <f t="shared" si="71"/>
        <v>-0.69314718055994529</v>
      </c>
    </row>
    <row r="1143" spans="12:15" x14ac:dyDescent="0.15">
      <c r="L1143" s="7">
        <f t="shared" si="68"/>
        <v>0</v>
      </c>
      <c r="M1143" s="7">
        <f t="shared" si="69"/>
        <v>1</v>
      </c>
      <c r="N1143" s="7">
        <f t="shared" si="70"/>
        <v>0.5</v>
      </c>
      <c r="O1143" s="7">
        <f t="shared" si="71"/>
        <v>-0.69314718055994529</v>
      </c>
    </row>
    <row r="1144" spans="12:15" x14ac:dyDescent="0.15">
      <c r="L1144" s="7">
        <f t="shared" si="68"/>
        <v>0</v>
      </c>
      <c r="M1144" s="7">
        <f t="shared" si="69"/>
        <v>1</v>
      </c>
      <c r="N1144" s="7">
        <f t="shared" si="70"/>
        <v>0.5</v>
      </c>
      <c r="O1144" s="7">
        <f t="shared" si="71"/>
        <v>-0.69314718055994529</v>
      </c>
    </row>
    <row r="1145" spans="12:15" x14ac:dyDescent="0.15">
      <c r="L1145" s="7">
        <f t="shared" si="68"/>
        <v>0</v>
      </c>
      <c r="M1145" s="7">
        <f t="shared" si="69"/>
        <v>1</v>
      </c>
      <c r="N1145" s="7">
        <f t="shared" si="70"/>
        <v>0.5</v>
      </c>
      <c r="O1145" s="7">
        <f t="shared" si="71"/>
        <v>-0.69314718055994529</v>
      </c>
    </row>
    <row r="1146" spans="12:15" x14ac:dyDescent="0.15">
      <c r="L1146" s="7">
        <f t="shared" si="68"/>
        <v>0</v>
      </c>
      <c r="M1146" s="7">
        <f t="shared" si="69"/>
        <v>1</v>
      </c>
      <c r="N1146" s="7">
        <f t="shared" si="70"/>
        <v>0.5</v>
      </c>
      <c r="O1146" s="7">
        <f t="shared" si="71"/>
        <v>-0.69314718055994529</v>
      </c>
    </row>
    <row r="1147" spans="12:15" x14ac:dyDescent="0.15">
      <c r="L1147" s="7">
        <f t="shared" si="68"/>
        <v>0</v>
      </c>
      <c r="M1147" s="7">
        <f t="shared" si="69"/>
        <v>1</v>
      </c>
      <c r="N1147" s="7">
        <f t="shared" si="70"/>
        <v>0.5</v>
      </c>
      <c r="O1147" s="7">
        <f t="shared" si="71"/>
        <v>-0.69314718055994529</v>
      </c>
    </row>
    <row r="1148" spans="12:15" x14ac:dyDescent="0.15">
      <c r="L1148" s="7">
        <f t="shared" si="68"/>
        <v>0</v>
      </c>
      <c r="M1148" s="7">
        <f t="shared" si="69"/>
        <v>1</v>
      </c>
      <c r="N1148" s="7">
        <f t="shared" si="70"/>
        <v>0.5</v>
      </c>
      <c r="O1148" s="7">
        <f t="shared" si="71"/>
        <v>-0.69314718055994529</v>
      </c>
    </row>
    <row r="1149" spans="12:15" x14ac:dyDescent="0.15">
      <c r="L1149" s="7">
        <f t="shared" si="68"/>
        <v>0</v>
      </c>
      <c r="M1149" s="7">
        <f t="shared" si="69"/>
        <v>1</v>
      </c>
      <c r="N1149" s="7">
        <f t="shared" si="70"/>
        <v>0.5</v>
      </c>
      <c r="O1149" s="7">
        <f t="shared" si="71"/>
        <v>-0.69314718055994529</v>
      </c>
    </row>
    <row r="1150" spans="12:15" x14ac:dyDescent="0.15">
      <c r="L1150" s="7">
        <f t="shared" si="68"/>
        <v>0</v>
      </c>
      <c r="M1150" s="7">
        <f t="shared" si="69"/>
        <v>1</v>
      </c>
      <c r="N1150" s="7">
        <f t="shared" si="70"/>
        <v>0.5</v>
      </c>
      <c r="O1150" s="7">
        <f t="shared" si="71"/>
        <v>-0.69314718055994529</v>
      </c>
    </row>
    <row r="1151" spans="12:15" x14ac:dyDescent="0.15">
      <c r="L1151" s="7">
        <f t="shared" si="68"/>
        <v>0</v>
      </c>
      <c r="M1151" s="7">
        <f t="shared" si="69"/>
        <v>1</v>
      </c>
      <c r="N1151" s="7">
        <f t="shared" si="70"/>
        <v>0.5</v>
      </c>
      <c r="O1151" s="7">
        <f t="shared" si="71"/>
        <v>-0.69314718055994529</v>
      </c>
    </row>
    <row r="1152" spans="12:15" x14ac:dyDescent="0.15">
      <c r="L1152" s="7">
        <f t="shared" si="68"/>
        <v>0</v>
      </c>
      <c r="M1152" s="7">
        <f t="shared" si="69"/>
        <v>1</v>
      </c>
      <c r="N1152" s="7">
        <f t="shared" si="70"/>
        <v>0.5</v>
      </c>
      <c r="O1152" s="7">
        <f t="shared" si="71"/>
        <v>-0.69314718055994529</v>
      </c>
    </row>
    <row r="1153" spans="12:15" x14ac:dyDescent="0.15">
      <c r="L1153" s="7">
        <f t="shared" si="68"/>
        <v>0</v>
      </c>
      <c r="M1153" s="7">
        <f t="shared" si="69"/>
        <v>1</v>
      </c>
      <c r="N1153" s="7">
        <f t="shared" si="70"/>
        <v>0.5</v>
      </c>
      <c r="O1153" s="7">
        <f t="shared" si="71"/>
        <v>-0.69314718055994529</v>
      </c>
    </row>
    <row r="1154" spans="12:15" x14ac:dyDescent="0.15">
      <c r="L1154" s="7">
        <f t="shared" si="68"/>
        <v>0</v>
      </c>
      <c r="M1154" s="7">
        <f t="shared" si="69"/>
        <v>1</v>
      </c>
      <c r="N1154" s="7">
        <f t="shared" si="70"/>
        <v>0.5</v>
      </c>
      <c r="O1154" s="7">
        <f t="shared" si="71"/>
        <v>-0.69314718055994529</v>
      </c>
    </row>
    <row r="1155" spans="12:15" x14ac:dyDescent="0.15">
      <c r="L1155" s="7">
        <f t="shared" ref="L1155:L1218" si="72">$Q$1 + $Q$2*B1155+$Q$3*C1155+ $Q$4*D1155+$Q$5*E1155+$Q$6*F1155+$Q$7*G1155+H1155*$Q$8+I1155*$Q$9+J1155*$Q$10+K1155*$Q$11</f>
        <v>0</v>
      </c>
      <c r="M1155" s="7">
        <f t="shared" ref="M1155:M1218" si="73">EXP(L1155)</f>
        <v>1</v>
      </c>
      <c r="N1155" s="7">
        <f t="shared" ref="N1155:N1218" si="74">1/(1+M1155)</f>
        <v>0.5</v>
      </c>
      <c r="O1155" s="7">
        <f t="shared" ref="O1155:O1218" si="75">A1155*LN(N1155)+(1-A1155)*LN(1-N1155)</f>
        <v>-0.69314718055994529</v>
      </c>
    </row>
    <row r="1156" spans="12:15" x14ac:dyDescent="0.15">
      <c r="L1156" s="7">
        <f t="shared" si="72"/>
        <v>0</v>
      </c>
      <c r="M1156" s="7">
        <f t="shared" si="73"/>
        <v>1</v>
      </c>
      <c r="N1156" s="7">
        <f t="shared" si="74"/>
        <v>0.5</v>
      </c>
      <c r="O1156" s="7">
        <f t="shared" si="75"/>
        <v>-0.69314718055994529</v>
      </c>
    </row>
    <row r="1157" spans="12:15" x14ac:dyDescent="0.15">
      <c r="L1157" s="7">
        <f t="shared" si="72"/>
        <v>0</v>
      </c>
      <c r="M1157" s="7">
        <f t="shared" si="73"/>
        <v>1</v>
      </c>
      <c r="N1157" s="7">
        <f t="shared" si="74"/>
        <v>0.5</v>
      </c>
      <c r="O1157" s="7">
        <f t="shared" si="75"/>
        <v>-0.69314718055994529</v>
      </c>
    </row>
    <row r="1158" spans="12:15" x14ac:dyDescent="0.15">
      <c r="L1158" s="7">
        <f t="shared" si="72"/>
        <v>0</v>
      </c>
      <c r="M1158" s="7">
        <f t="shared" si="73"/>
        <v>1</v>
      </c>
      <c r="N1158" s="7">
        <f t="shared" si="74"/>
        <v>0.5</v>
      </c>
      <c r="O1158" s="7">
        <f t="shared" si="75"/>
        <v>-0.69314718055994529</v>
      </c>
    </row>
    <row r="1159" spans="12:15" x14ac:dyDescent="0.15">
      <c r="L1159" s="7">
        <f t="shared" si="72"/>
        <v>0</v>
      </c>
      <c r="M1159" s="7">
        <f t="shared" si="73"/>
        <v>1</v>
      </c>
      <c r="N1159" s="7">
        <f t="shared" si="74"/>
        <v>0.5</v>
      </c>
      <c r="O1159" s="7">
        <f t="shared" si="75"/>
        <v>-0.69314718055994529</v>
      </c>
    </row>
    <row r="1160" spans="12:15" x14ac:dyDescent="0.15">
      <c r="L1160" s="7">
        <f t="shared" si="72"/>
        <v>0</v>
      </c>
      <c r="M1160" s="7">
        <f t="shared" si="73"/>
        <v>1</v>
      </c>
      <c r="N1160" s="7">
        <f t="shared" si="74"/>
        <v>0.5</v>
      </c>
      <c r="O1160" s="7">
        <f t="shared" si="75"/>
        <v>-0.69314718055994529</v>
      </c>
    </row>
    <row r="1161" spans="12:15" x14ac:dyDescent="0.15">
      <c r="L1161" s="7">
        <f t="shared" si="72"/>
        <v>0</v>
      </c>
      <c r="M1161" s="7">
        <f t="shared" si="73"/>
        <v>1</v>
      </c>
      <c r="N1161" s="7">
        <f t="shared" si="74"/>
        <v>0.5</v>
      </c>
      <c r="O1161" s="7">
        <f t="shared" si="75"/>
        <v>-0.69314718055994529</v>
      </c>
    </row>
    <row r="1162" spans="12:15" x14ac:dyDescent="0.15">
      <c r="L1162" s="7">
        <f t="shared" si="72"/>
        <v>0</v>
      </c>
      <c r="M1162" s="7">
        <f t="shared" si="73"/>
        <v>1</v>
      </c>
      <c r="N1162" s="7">
        <f t="shared" si="74"/>
        <v>0.5</v>
      </c>
      <c r="O1162" s="7">
        <f t="shared" si="75"/>
        <v>-0.69314718055994529</v>
      </c>
    </row>
    <row r="1163" spans="12:15" x14ac:dyDescent="0.15">
      <c r="L1163" s="7">
        <f t="shared" si="72"/>
        <v>0</v>
      </c>
      <c r="M1163" s="7">
        <f t="shared" si="73"/>
        <v>1</v>
      </c>
      <c r="N1163" s="7">
        <f t="shared" si="74"/>
        <v>0.5</v>
      </c>
      <c r="O1163" s="7">
        <f t="shared" si="75"/>
        <v>-0.69314718055994529</v>
      </c>
    </row>
    <row r="1164" spans="12:15" x14ac:dyDescent="0.15">
      <c r="L1164" s="7">
        <f t="shared" si="72"/>
        <v>0</v>
      </c>
      <c r="M1164" s="7">
        <f t="shared" si="73"/>
        <v>1</v>
      </c>
      <c r="N1164" s="7">
        <f t="shared" si="74"/>
        <v>0.5</v>
      </c>
      <c r="O1164" s="7">
        <f t="shared" si="75"/>
        <v>-0.69314718055994529</v>
      </c>
    </row>
    <row r="1165" spans="12:15" x14ac:dyDescent="0.15">
      <c r="L1165" s="7">
        <f t="shared" si="72"/>
        <v>0</v>
      </c>
      <c r="M1165" s="7">
        <f t="shared" si="73"/>
        <v>1</v>
      </c>
      <c r="N1165" s="7">
        <f t="shared" si="74"/>
        <v>0.5</v>
      </c>
      <c r="O1165" s="7">
        <f t="shared" si="75"/>
        <v>-0.69314718055994529</v>
      </c>
    </row>
    <row r="1166" spans="12:15" x14ac:dyDescent="0.15">
      <c r="L1166" s="7">
        <f t="shared" si="72"/>
        <v>0</v>
      </c>
      <c r="M1166" s="7">
        <f t="shared" si="73"/>
        <v>1</v>
      </c>
      <c r="N1166" s="7">
        <f t="shared" si="74"/>
        <v>0.5</v>
      </c>
      <c r="O1166" s="7">
        <f t="shared" si="75"/>
        <v>-0.69314718055994529</v>
      </c>
    </row>
    <row r="1167" spans="12:15" x14ac:dyDescent="0.15">
      <c r="L1167" s="7">
        <f t="shared" si="72"/>
        <v>0</v>
      </c>
      <c r="M1167" s="7">
        <f t="shared" si="73"/>
        <v>1</v>
      </c>
      <c r="N1167" s="7">
        <f t="shared" si="74"/>
        <v>0.5</v>
      </c>
      <c r="O1167" s="7">
        <f t="shared" si="75"/>
        <v>-0.69314718055994529</v>
      </c>
    </row>
    <row r="1168" spans="12:15" x14ac:dyDescent="0.15">
      <c r="L1168" s="7">
        <f t="shared" si="72"/>
        <v>0</v>
      </c>
      <c r="M1168" s="7">
        <f t="shared" si="73"/>
        <v>1</v>
      </c>
      <c r="N1168" s="7">
        <f t="shared" si="74"/>
        <v>0.5</v>
      </c>
      <c r="O1168" s="7">
        <f t="shared" si="75"/>
        <v>-0.69314718055994529</v>
      </c>
    </row>
    <row r="1169" spans="12:15" x14ac:dyDescent="0.15">
      <c r="L1169" s="7">
        <f t="shared" si="72"/>
        <v>0</v>
      </c>
      <c r="M1169" s="7">
        <f t="shared" si="73"/>
        <v>1</v>
      </c>
      <c r="N1169" s="7">
        <f t="shared" si="74"/>
        <v>0.5</v>
      </c>
      <c r="O1169" s="7">
        <f t="shared" si="75"/>
        <v>-0.69314718055994529</v>
      </c>
    </row>
    <row r="1170" spans="12:15" x14ac:dyDescent="0.15">
      <c r="L1170" s="7">
        <f t="shared" si="72"/>
        <v>0</v>
      </c>
      <c r="M1170" s="7">
        <f t="shared" si="73"/>
        <v>1</v>
      </c>
      <c r="N1170" s="7">
        <f t="shared" si="74"/>
        <v>0.5</v>
      </c>
      <c r="O1170" s="7">
        <f t="shared" si="75"/>
        <v>-0.69314718055994529</v>
      </c>
    </row>
    <row r="1171" spans="12:15" x14ac:dyDescent="0.15">
      <c r="L1171" s="7">
        <f t="shared" si="72"/>
        <v>0</v>
      </c>
      <c r="M1171" s="7">
        <f t="shared" si="73"/>
        <v>1</v>
      </c>
      <c r="N1171" s="7">
        <f t="shared" si="74"/>
        <v>0.5</v>
      </c>
      <c r="O1171" s="7">
        <f t="shared" si="75"/>
        <v>-0.69314718055994529</v>
      </c>
    </row>
    <row r="1172" spans="12:15" x14ac:dyDescent="0.15">
      <c r="L1172" s="7">
        <f t="shared" si="72"/>
        <v>0</v>
      </c>
      <c r="M1172" s="7">
        <f t="shared" si="73"/>
        <v>1</v>
      </c>
      <c r="N1172" s="7">
        <f t="shared" si="74"/>
        <v>0.5</v>
      </c>
      <c r="O1172" s="7">
        <f t="shared" si="75"/>
        <v>-0.69314718055994529</v>
      </c>
    </row>
    <row r="1173" spans="12:15" x14ac:dyDescent="0.15">
      <c r="L1173" s="7">
        <f t="shared" si="72"/>
        <v>0</v>
      </c>
      <c r="M1173" s="7">
        <f t="shared" si="73"/>
        <v>1</v>
      </c>
      <c r="N1173" s="7">
        <f t="shared" si="74"/>
        <v>0.5</v>
      </c>
      <c r="O1173" s="7">
        <f t="shared" si="75"/>
        <v>-0.69314718055994529</v>
      </c>
    </row>
    <row r="1174" spans="12:15" x14ac:dyDescent="0.15">
      <c r="L1174" s="7">
        <f t="shared" si="72"/>
        <v>0</v>
      </c>
      <c r="M1174" s="7">
        <f t="shared" si="73"/>
        <v>1</v>
      </c>
      <c r="N1174" s="7">
        <f t="shared" si="74"/>
        <v>0.5</v>
      </c>
      <c r="O1174" s="7">
        <f t="shared" si="75"/>
        <v>-0.69314718055994529</v>
      </c>
    </row>
    <row r="1175" spans="12:15" x14ac:dyDescent="0.15">
      <c r="L1175" s="7">
        <f t="shared" si="72"/>
        <v>0</v>
      </c>
      <c r="M1175" s="7">
        <f t="shared" si="73"/>
        <v>1</v>
      </c>
      <c r="N1175" s="7">
        <f t="shared" si="74"/>
        <v>0.5</v>
      </c>
      <c r="O1175" s="7">
        <f t="shared" si="75"/>
        <v>-0.69314718055994529</v>
      </c>
    </row>
    <row r="1176" spans="12:15" x14ac:dyDescent="0.15">
      <c r="L1176" s="7">
        <f t="shared" si="72"/>
        <v>0</v>
      </c>
      <c r="M1176" s="7">
        <f t="shared" si="73"/>
        <v>1</v>
      </c>
      <c r="N1176" s="7">
        <f t="shared" si="74"/>
        <v>0.5</v>
      </c>
      <c r="O1176" s="7">
        <f t="shared" si="75"/>
        <v>-0.69314718055994529</v>
      </c>
    </row>
    <row r="1177" spans="12:15" x14ac:dyDescent="0.15">
      <c r="L1177" s="7">
        <f t="shared" si="72"/>
        <v>0</v>
      </c>
      <c r="M1177" s="7">
        <f t="shared" si="73"/>
        <v>1</v>
      </c>
      <c r="N1177" s="7">
        <f t="shared" si="74"/>
        <v>0.5</v>
      </c>
      <c r="O1177" s="7">
        <f t="shared" si="75"/>
        <v>-0.69314718055994529</v>
      </c>
    </row>
    <row r="1178" spans="12:15" x14ac:dyDescent="0.15">
      <c r="L1178" s="7">
        <f t="shared" si="72"/>
        <v>0</v>
      </c>
      <c r="M1178" s="7">
        <f t="shared" si="73"/>
        <v>1</v>
      </c>
      <c r="N1178" s="7">
        <f t="shared" si="74"/>
        <v>0.5</v>
      </c>
      <c r="O1178" s="7">
        <f t="shared" si="75"/>
        <v>-0.69314718055994529</v>
      </c>
    </row>
    <row r="1179" spans="12:15" x14ac:dyDescent="0.15">
      <c r="L1179" s="7">
        <f t="shared" si="72"/>
        <v>0</v>
      </c>
      <c r="M1179" s="7">
        <f t="shared" si="73"/>
        <v>1</v>
      </c>
      <c r="N1179" s="7">
        <f t="shared" si="74"/>
        <v>0.5</v>
      </c>
      <c r="O1179" s="7">
        <f t="shared" si="75"/>
        <v>-0.69314718055994529</v>
      </c>
    </row>
    <row r="1180" spans="12:15" x14ac:dyDescent="0.15">
      <c r="L1180" s="7">
        <f t="shared" si="72"/>
        <v>0</v>
      </c>
      <c r="M1180" s="7">
        <f t="shared" si="73"/>
        <v>1</v>
      </c>
      <c r="N1180" s="7">
        <f t="shared" si="74"/>
        <v>0.5</v>
      </c>
      <c r="O1180" s="7">
        <f t="shared" si="75"/>
        <v>-0.69314718055994529</v>
      </c>
    </row>
    <row r="1181" spans="12:15" x14ac:dyDescent="0.15">
      <c r="L1181" s="7">
        <f t="shared" si="72"/>
        <v>0</v>
      </c>
      <c r="M1181" s="7">
        <f t="shared" si="73"/>
        <v>1</v>
      </c>
      <c r="N1181" s="7">
        <f t="shared" si="74"/>
        <v>0.5</v>
      </c>
      <c r="O1181" s="7">
        <f t="shared" si="75"/>
        <v>-0.69314718055994529</v>
      </c>
    </row>
    <row r="1182" spans="12:15" x14ac:dyDescent="0.15">
      <c r="L1182" s="7">
        <f t="shared" si="72"/>
        <v>0</v>
      </c>
      <c r="M1182" s="7">
        <f t="shared" si="73"/>
        <v>1</v>
      </c>
      <c r="N1182" s="7">
        <f t="shared" si="74"/>
        <v>0.5</v>
      </c>
      <c r="O1182" s="7">
        <f t="shared" si="75"/>
        <v>-0.69314718055994529</v>
      </c>
    </row>
    <row r="1183" spans="12:15" x14ac:dyDescent="0.15">
      <c r="L1183" s="7">
        <f t="shared" si="72"/>
        <v>0</v>
      </c>
      <c r="M1183" s="7">
        <f t="shared" si="73"/>
        <v>1</v>
      </c>
      <c r="N1183" s="7">
        <f t="shared" si="74"/>
        <v>0.5</v>
      </c>
      <c r="O1183" s="7">
        <f t="shared" si="75"/>
        <v>-0.69314718055994529</v>
      </c>
    </row>
    <row r="1184" spans="12:15" x14ac:dyDescent="0.15">
      <c r="L1184" s="7">
        <f t="shared" si="72"/>
        <v>0</v>
      </c>
      <c r="M1184" s="7">
        <f t="shared" si="73"/>
        <v>1</v>
      </c>
      <c r="N1184" s="7">
        <f t="shared" si="74"/>
        <v>0.5</v>
      </c>
      <c r="O1184" s="7">
        <f t="shared" si="75"/>
        <v>-0.69314718055994529</v>
      </c>
    </row>
    <row r="1185" spans="12:15" x14ac:dyDescent="0.15">
      <c r="L1185" s="7">
        <f t="shared" si="72"/>
        <v>0</v>
      </c>
      <c r="M1185" s="7">
        <f t="shared" si="73"/>
        <v>1</v>
      </c>
      <c r="N1185" s="7">
        <f t="shared" si="74"/>
        <v>0.5</v>
      </c>
      <c r="O1185" s="7">
        <f t="shared" si="75"/>
        <v>-0.69314718055994529</v>
      </c>
    </row>
    <row r="1186" spans="12:15" x14ac:dyDescent="0.15">
      <c r="L1186" s="7">
        <f t="shared" si="72"/>
        <v>0</v>
      </c>
      <c r="M1186" s="7">
        <f t="shared" si="73"/>
        <v>1</v>
      </c>
      <c r="N1186" s="7">
        <f t="shared" si="74"/>
        <v>0.5</v>
      </c>
      <c r="O1186" s="7">
        <f t="shared" si="75"/>
        <v>-0.69314718055994529</v>
      </c>
    </row>
    <row r="1187" spans="12:15" x14ac:dyDescent="0.15">
      <c r="L1187" s="7">
        <f t="shared" si="72"/>
        <v>0</v>
      </c>
      <c r="M1187" s="7">
        <f t="shared" si="73"/>
        <v>1</v>
      </c>
      <c r="N1187" s="7">
        <f t="shared" si="74"/>
        <v>0.5</v>
      </c>
      <c r="O1187" s="7">
        <f t="shared" si="75"/>
        <v>-0.69314718055994529</v>
      </c>
    </row>
    <row r="1188" spans="12:15" x14ac:dyDescent="0.15">
      <c r="L1188" s="7">
        <f t="shared" si="72"/>
        <v>0</v>
      </c>
      <c r="M1188" s="7">
        <f t="shared" si="73"/>
        <v>1</v>
      </c>
      <c r="N1188" s="7">
        <f t="shared" si="74"/>
        <v>0.5</v>
      </c>
      <c r="O1188" s="7">
        <f t="shared" si="75"/>
        <v>-0.69314718055994529</v>
      </c>
    </row>
    <row r="1189" spans="12:15" x14ac:dyDescent="0.15">
      <c r="L1189" s="7">
        <f t="shared" si="72"/>
        <v>0</v>
      </c>
      <c r="M1189" s="7">
        <f t="shared" si="73"/>
        <v>1</v>
      </c>
      <c r="N1189" s="7">
        <f t="shared" si="74"/>
        <v>0.5</v>
      </c>
      <c r="O1189" s="7">
        <f t="shared" si="75"/>
        <v>-0.69314718055994529</v>
      </c>
    </row>
    <row r="1190" spans="12:15" x14ac:dyDescent="0.15">
      <c r="L1190" s="7">
        <f t="shared" si="72"/>
        <v>0</v>
      </c>
      <c r="M1190" s="7">
        <f t="shared" si="73"/>
        <v>1</v>
      </c>
      <c r="N1190" s="7">
        <f t="shared" si="74"/>
        <v>0.5</v>
      </c>
      <c r="O1190" s="7">
        <f t="shared" si="75"/>
        <v>-0.69314718055994529</v>
      </c>
    </row>
    <row r="1191" spans="12:15" x14ac:dyDescent="0.15">
      <c r="L1191" s="7">
        <f t="shared" si="72"/>
        <v>0</v>
      </c>
      <c r="M1191" s="7">
        <f t="shared" si="73"/>
        <v>1</v>
      </c>
      <c r="N1191" s="7">
        <f t="shared" si="74"/>
        <v>0.5</v>
      </c>
      <c r="O1191" s="7">
        <f t="shared" si="75"/>
        <v>-0.69314718055994529</v>
      </c>
    </row>
    <row r="1192" spans="12:15" x14ac:dyDescent="0.15">
      <c r="L1192" s="7">
        <f t="shared" si="72"/>
        <v>0</v>
      </c>
      <c r="M1192" s="7">
        <f t="shared" si="73"/>
        <v>1</v>
      </c>
      <c r="N1192" s="7">
        <f t="shared" si="74"/>
        <v>0.5</v>
      </c>
      <c r="O1192" s="7">
        <f t="shared" si="75"/>
        <v>-0.69314718055994529</v>
      </c>
    </row>
    <row r="1193" spans="12:15" x14ac:dyDescent="0.15">
      <c r="L1193" s="7">
        <f t="shared" si="72"/>
        <v>0</v>
      </c>
      <c r="M1193" s="7">
        <f t="shared" si="73"/>
        <v>1</v>
      </c>
      <c r="N1193" s="7">
        <f t="shared" si="74"/>
        <v>0.5</v>
      </c>
      <c r="O1193" s="7">
        <f t="shared" si="75"/>
        <v>-0.69314718055994529</v>
      </c>
    </row>
    <row r="1194" spans="12:15" x14ac:dyDescent="0.15">
      <c r="L1194" s="7">
        <f t="shared" si="72"/>
        <v>0</v>
      </c>
      <c r="M1194" s="7">
        <f t="shared" si="73"/>
        <v>1</v>
      </c>
      <c r="N1194" s="7">
        <f t="shared" si="74"/>
        <v>0.5</v>
      </c>
      <c r="O1194" s="7">
        <f t="shared" si="75"/>
        <v>-0.69314718055994529</v>
      </c>
    </row>
    <row r="1195" spans="12:15" x14ac:dyDescent="0.15">
      <c r="L1195" s="7">
        <f t="shared" si="72"/>
        <v>0</v>
      </c>
      <c r="M1195" s="7">
        <f t="shared" si="73"/>
        <v>1</v>
      </c>
      <c r="N1195" s="7">
        <f t="shared" si="74"/>
        <v>0.5</v>
      </c>
      <c r="O1195" s="7">
        <f t="shared" si="75"/>
        <v>-0.69314718055994529</v>
      </c>
    </row>
    <row r="1196" spans="12:15" x14ac:dyDescent="0.15">
      <c r="L1196" s="7">
        <f t="shared" si="72"/>
        <v>0</v>
      </c>
      <c r="M1196" s="7">
        <f t="shared" si="73"/>
        <v>1</v>
      </c>
      <c r="N1196" s="7">
        <f t="shared" si="74"/>
        <v>0.5</v>
      </c>
      <c r="O1196" s="7">
        <f t="shared" si="75"/>
        <v>-0.69314718055994529</v>
      </c>
    </row>
    <row r="1197" spans="12:15" x14ac:dyDescent="0.15">
      <c r="L1197" s="7">
        <f t="shared" si="72"/>
        <v>0</v>
      </c>
      <c r="M1197" s="7">
        <f t="shared" si="73"/>
        <v>1</v>
      </c>
      <c r="N1197" s="7">
        <f t="shared" si="74"/>
        <v>0.5</v>
      </c>
      <c r="O1197" s="7">
        <f t="shared" si="75"/>
        <v>-0.69314718055994529</v>
      </c>
    </row>
    <row r="1198" spans="12:15" x14ac:dyDescent="0.15">
      <c r="L1198" s="7">
        <f t="shared" si="72"/>
        <v>0</v>
      </c>
      <c r="M1198" s="7">
        <f t="shared" si="73"/>
        <v>1</v>
      </c>
      <c r="N1198" s="7">
        <f t="shared" si="74"/>
        <v>0.5</v>
      </c>
      <c r="O1198" s="7">
        <f t="shared" si="75"/>
        <v>-0.69314718055994529</v>
      </c>
    </row>
    <row r="1199" spans="12:15" x14ac:dyDescent="0.15">
      <c r="L1199" s="7">
        <f t="shared" si="72"/>
        <v>0</v>
      </c>
      <c r="M1199" s="7">
        <f t="shared" si="73"/>
        <v>1</v>
      </c>
      <c r="N1199" s="7">
        <f t="shared" si="74"/>
        <v>0.5</v>
      </c>
      <c r="O1199" s="7">
        <f t="shared" si="75"/>
        <v>-0.69314718055994529</v>
      </c>
    </row>
    <row r="1200" spans="12:15" x14ac:dyDescent="0.15">
      <c r="L1200" s="7">
        <f t="shared" si="72"/>
        <v>0</v>
      </c>
      <c r="M1200" s="7">
        <f t="shared" si="73"/>
        <v>1</v>
      </c>
      <c r="N1200" s="7">
        <f t="shared" si="74"/>
        <v>0.5</v>
      </c>
      <c r="O1200" s="7">
        <f t="shared" si="75"/>
        <v>-0.69314718055994529</v>
      </c>
    </row>
    <row r="1201" spans="12:15" x14ac:dyDescent="0.15">
      <c r="L1201" s="7">
        <f t="shared" si="72"/>
        <v>0</v>
      </c>
      <c r="M1201" s="7">
        <f t="shared" si="73"/>
        <v>1</v>
      </c>
      <c r="N1201" s="7">
        <f t="shared" si="74"/>
        <v>0.5</v>
      </c>
      <c r="O1201" s="7">
        <f t="shared" si="75"/>
        <v>-0.69314718055994529</v>
      </c>
    </row>
    <row r="1202" spans="12:15" x14ac:dyDescent="0.15">
      <c r="L1202" s="7">
        <f t="shared" si="72"/>
        <v>0</v>
      </c>
      <c r="M1202" s="7">
        <f t="shared" si="73"/>
        <v>1</v>
      </c>
      <c r="N1202" s="7">
        <f t="shared" si="74"/>
        <v>0.5</v>
      </c>
      <c r="O1202" s="7">
        <f t="shared" si="75"/>
        <v>-0.69314718055994529</v>
      </c>
    </row>
    <row r="1203" spans="12:15" x14ac:dyDescent="0.15">
      <c r="L1203" s="7">
        <f t="shared" si="72"/>
        <v>0</v>
      </c>
      <c r="M1203" s="7">
        <f t="shared" si="73"/>
        <v>1</v>
      </c>
      <c r="N1203" s="7">
        <f t="shared" si="74"/>
        <v>0.5</v>
      </c>
      <c r="O1203" s="7">
        <f t="shared" si="75"/>
        <v>-0.69314718055994529</v>
      </c>
    </row>
    <row r="1204" spans="12:15" x14ac:dyDescent="0.15">
      <c r="L1204" s="7">
        <f t="shared" si="72"/>
        <v>0</v>
      </c>
      <c r="M1204" s="7">
        <f t="shared" si="73"/>
        <v>1</v>
      </c>
      <c r="N1204" s="7">
        <f t="shared" si="74"/>
        <v>0.5</v>
      </c>
      <c r="O1204" s="7">
        <f t="shared" si="75"/>
        <v>-0.69314718055994529</v>
      </c>
    </row>
    <row r="1205" spans="12:15" x14ac:dyDescent="0.15">
      <c r="L1205" s="7">
        <f t="shared" si="72"/>
        <v>0</v>
      </c>
      <c r="M1205" s="7">
        <f t="shared" si="73"/>
        <v>1</v>
      </c>
      <c r="N1205" s="7">
        <f t="shared" si="74"/>
        <v>0.5</v>
      </c>
      <c r="O1205" s="7">
        <f t="shared" si="75"/>
        <v>-0.69314718055994529</v>
      </c>
    </row>
    <row r="1206" spans="12:15" x14ac:dyDescent="0.15">
      <c r="L1206" s="7">
        <f t="shared" si="72"/>
        <v>0</v>
      </c>
      <c r="M1206" s="7">
        <f t="shared" si="73"/>
        <v>1</v>
      </c>
      <c r="N1206" s="7">
        <f t="shared" si="74"/>
        <v>0.5</v>
      </c>
      <c r="O1206" s="7">
        <f t="shared" si="75"/>
        <v>-0.69314718055994529</v>
      </c>
    </row>
    <row r="1207" spans="12:15" x14ac:dyDescent="0.15">
      <c r="L1207" s="7">
        <f t="shared" si="72"/>
        <v>0</v>
      </c>
      <c r="M1207" s="7">
        <f t="shared" si="73"/>
        <v>1</v>
      </c>
      <c r="N1207" s="7">
        <f t="shared" si="74"/>
        <v>0.5</v>
      </c>
      <c r="O1207" s="7">
        <f t="shared" si="75"/>
        <v>-0.69314718055994529</v>
      </c>
    </row>
    <row r="1208" spans="12:15" x14ac:dyDescent="0.15">
      <c r="L1208" s="7">
        <f t="shared" si="72"/>
        <v>0</v>
      </c>
      <c r="M1208" s="7">
        <f t="shared" si="73"/>
        <v>1</v>
      </c>
      <c r="N1208" s="7">
        <f t="shared" si="74"/>
        <v>0.5</v>
      </c>
      <c r="O1208" s="7">
        <f t="shared" si="75"/>
        <v>-0.69314718055994529</v>
      </c>
    </row>
    <row r="1209" spans="12:15" x14ac:dyDescent="0.15">
      <c r="L1209" s="7">
        <f t="shared" si="72"/>
        <v>0</v>
      </c>
      <c r="M1209" s="7">
        <f t="shared" si="73"/>
        <v>1</v>
      </c>
      <c r="N1209" s="7">
        <f t="shared" si="74"/>
        <v>0.5</v>
      </c>
      <c r="O1209" s="7">
        <f t="shared" si="75"/>
        <v>-0.69314718055994529</v>
      </c>
    </row>
    <row r="1210" spans="12:15" x14ac:dyDescent="0.15">
      <c r="L1210" s="7">
        <f t="shared" si="72"/>
        <v>0</v>
      </c>
      <c r="M1210" s="7">
        <f t="shared" si="73"/>
        <v>1</v>
      </c>
      <c r="N1210" s="7">
        <f t="shared" si="74"/>
        <v>0.5</v>
      </c>
      <c r="O1210" s="7">
        <f t="shared" si="75"/>
        <v>-0.69314718055994529</v>
      </c>
    </row>
    <row r="1211" spans="12:15" x14ac:dyDescent="0.15">
      <c r="L1211" s="7">
        <f t="shared" si="72"/>
        <v>0</v>
      </c>
      <c r="M1211" s="7">
        <f t="shared" si="73"/>
        <v>1</v>
      </c>
      <c r="N1211" s="7">
        <f t="shared" si="74"/>
        <v>0.5</v>
      </c>
      <c r="O1211" s="7">
        <f t="shared" si="75"/>
        <v>-0.69314718055994529</v>
      </c>
    </row>
    <row r="1212" spans="12:15" x14ac:dyDescent="0.15">
      <c r="L1212" s="7">
        <f t="shared" si="72"/>
        <v>0</v>
      </c>
      <c r="M1212" s="7">
        <f t="shared" si="73"/>
        <v>1</v>
      </c>
      <c r="N1212" s="7">
        <f t="shared" si="74"/>
        <v>0.5</v>
      </c>
      <c r="O1212" s="7">
        <f t="shared" si="75"/>
        <v>-0.69314718055994529</v>
      </c>
    </row>
    <row r="1213" spans="12:15" x14ac:dyDescent="0.15">
      <c r="L1213" s="7">
        <f t="shared" si="72"/>
        <v>0</v>
      </c>
      <c r="M1213" s="7">
        <f t="shared" si="73"/>
        <v>1</v>
      </c>
      <c r="N1213" s="7">
        <f t="shared" si="74"/>
        <v>0.5</v>
      </c>
      <c r="O1213" s="7">
        <f t="shared" si="75"/>
        <v>-0.69314718055994529</v>
      </c>
    </row>
    <row r="1214" spans="12:15" x14ac:dyDescent="0.15">
      <c r="L1214" s="7">
        <f t="shared" si="72"/>
        <v>0</v>
      </c>
      <c r="M1214" s="7">
        <f t="shared" si="73"/>
        <v>1</v>
      </c>
      <c r="N1214" s="7">
        <f t="shared" si="74"/>
        <v>0.5</v>
      </c>
      <c r="O1214" s="7">
        <f t="shared" si="75"/>
        <v>-0.69314718055994529</v>
      </c>
    </row>
    <row r="1215" spans="12:15" x14ac:dyDescent="0.15">
      <c r="L1215" s="7">
        <f t="shared" si="72"/>
        <v>0</v>
      </c>
      <c r="M1215" s="7">
        <f t="shared" si="73"/>
        <v>1</v>
      </c>
      <c r="N1215" s="7">
        <f t="shared" si="74"/>
        <v>0.5</v>
      </c>
      <c r="O1215" s="7">
        <f t="shared" si="75"/>
        <v>-0.69314718055994529</v>
      </c>
    </row>
    <row r="1216" spans="12:15" x14ac:dyDescent="0.15">
      <c r="L1216" s="7">
        <f t="shared" si="72"/>
        <v>0</v>
      </c>
      <c r="M1216" s="7">
        <f t="shared" si="73"/>
        <v>1</v>
      </c>
      <c r="N1216" s="7">
        <f t="shared" si="74"/>
        <v>0.5</v>
      </c>
      <c r="O1216" s="7">
        <f t="shared" si="75"/>
        <v>-0.69314718055994529</v>
      </c>
    </row>
    <row r="1217" spans="12:15" x14ac:dyDescent="0.15">
      <c r="L1217" s="7">
        <f t="shared" si="72"/>
        <v>0</v>
      </c>
      <c r="M1217" s="7">
        <f t="shared" si="73"/>
        <v>1</v>
      </c>
      <c r="N1217" s="7">
        <f t="shared" si="74"/>
        <v>0.5</v>
      </c>
      <c r="O1217" s="7">
        <f t="shared" si="75"/>
        <v>-0.69314718055994529</v>
      </c>
    </row>
    <row r="1218" spans="12:15" x14ac:dyDescent="0.15">
      <c r="L1218" s="7">
        <f t="shared" si="72"/>
        <v>0</v>
      </c>
      <c r="M1218" s="7">
        <f t="shared" si="73"/>
        <v>1</v>
      </c>
      <c r="N1218" s="7">
        <f t="shared" si="74"/>
        <v>0.5</v>
      </c>
      <c r="O1218" s="7">
        <f t="shared" si="75"/>
        <v>-0.69314718055994529</v>
      </c>
    </row>
    <row r="1219" spans="12:15" x14ac:dyDescent="0.15">
      <c r="L1219" s="7">
        <f t="shared" ref="L1219:L1282" si="76">$Q$1 + $Q$2*B1219+$Q$3*C1219+ $Q$4*D1219+$Q$5*E1219+$Q$6*F1219+$Q$7*G1219+H1219*$Q$8+I1219*$Q$9+J1219*$Q$10+K1219*$Q$11</f>
        <v>0</v>
      </c>
      <c r="M1219" s="7">
        <f t="shared" ref="M1219:M1282" si="77">EXP(L1219)</f>
        <v>1</v>
      </c>
      <c r="N1219" s="7">
        <f t="shared" ref="N1219:N1282" si="78">1/(1+M1219)</f>
        <v>0.5</v>
      </c>
      <c r="O1219" s="7">
        <f t="shared" ref="O1219:O1282" si="79">A1219*LN(N1219)+(1-A1219)*LN(1-N1219)</f>
        <v>-0.69314718055994529</v>
      </c>
    </row>
    <row r="1220" spans="12:15" x14ac:dyDescent="0.15">
      <c r="L1220" s="7">
        <f t="shared" si="76"/>
        <v>0</v>
      </c>
      <c r="M1220" s="7">
        <f t="shared" si="77"/>
        <v>1</v>
      </c>
      <c r="N1220" s="7">
        <f t="shared" si="78"/>
        <v>0.5</v>
      </c>
      <c r="O1220" s="7">
        <f t="shared" si="79"/>
        <v>-0.69314718055994529</v>
      </c>
    </row>
    <row r="1221" spans="12:15" x14ac:dyDescent="0.15">
      <c r="L1221" s="7">
        <f t="shared" si="76"/>
        <v>0</v>
      </c>
      <c r="M1221" s="7">
        <f t="shared" si="77"/>
        <v>1</v>
      </c>
      <c r="N1221" s="7">
        <f t="shared" si="78"/>
        <v>0.5</v>
      </c>
      <c r="O1221" s="7">
        <f t="shared" si="79"/>
        <v>-0.69314718055994529</v>
      </c>
    </row>
    <row r="1222" spans="12:15" x14ac:dyDescent="0.15">
      <c r="L1222" s="7">
        <f t="shared" si="76"/>
        <v>0</v>
      </c>
      <c r="M1222" s="7">
        <f t="shared" si="77"/>
        <v>1</v>
      </c>
      <c r="N1222" s="7">
        <f t="shared" si="78"/>
        <v>0.5</v>
      </c>
      <c r="O1222" s="7">
        <f t="shared" si="79"/>
        <v>-0.69314718055994529</v>
      </c>
    </row>
    <row r="1223" spans="12:15" x14ac:dyDescent="0.15">
      <c r="L1223" s="7">
        <f t="shared" si="76"/>
        <v>0</v>
      </c>
      <c r="M1223" s="7">
        <f t="shared" si="77"/>
        <v>1</v>
      </c>
      <c r="N1223" s="7">
        <f t="shared" si="78"/>
        <v>0.5</v>
      </c>
      <c r="O1223" s="7">
        <f t="shared" si="79"/>
        <v>-0.69314718055994529</v>
      </c>
    </row>
    <row r="1224" spans="12:15" x14ac:dyDescent="0.15">
      <c r="L1224" s="7">
        <f t="shared" si="76"/>
        <v>0</v>
      </c>
      <c r="M1224" s="7">
        <f t="shared" si="77"/>
        <v>1</v>
      </c>
      <c r="N1224" s="7">
        <f t="shared" si="78"/>
        <v>0.5</v>
      </c>
      <c r="O1224" s="7">
        <f t="shared" si="79"/>
        <v>-0.69314718055994529</v>
      </c>
    </row>
    <row r="1225" spans="12:15" x14ac:dyDescent="0.15">
      <c r="L1225" s="7">
        <f t="shared" si="76"/>
        <v>0</v>
      </c>
      <c r="M1225" s="7">
        <f t="shared" si="77"/>
        <v>1</v>
      </c>
      <c r="N1225" s="7">
        <f t="shared" si="78"/>
        <v>0.5</v>
      </c>
      <c r="O1225" s="7">
        <f t="shared" si="79"/>
        <v>-0.69314718055994529</v>
      </c>
    </row>
    <row r="1226" spans="12:15" x14ac:dyDescent="0.15">
      <c r="L1226" s="7">
        <f t="shared" si="76"/>
        <v>0</v>
      </c>
      <c r="M1226" s="7">
        <f t="shared" si="77"/>
        <v>1</v>
      </c>
      <c r="N1226" s="7">
        <f t="shared" si="78"/>
        <v>0.5</v>
      </c>
      <c r="O1226" s="7">
        <f t="shared" si="79"/>
        <v>-0.69314718055994529</v>
      </c>
    </row>
    <row r="1227" spans="12:15" x14ac:dyDescent="0.15">
      <c r="L1227" s="7">
        <f t="shared" si="76"/>
        <v>0</v>
      </c>
      <c r="M1227" s="7">
        <f t="shared" si="77"/>
        <v>1</v>
      </c>
      <c r="N1227" s="7">
        <f t="shared" si="78"/>
        <v>0.5</v>
      </c>
      <c r="O1227" s="7">
        <f t="shared" si="79"/>
        <v>-0.69314718055994529</v>
      </c>
    </row>
    <row r="1228" spans="12:15" x14ac:dyDescent="0.15">
      <c r="L1228" s="7">
        <f t="shared" si="76"/>
        <v>0</v>
      </c>
      <c r="M1228" s="7">
        <f t="shared" si="77"/>
        <v>1</v>
      </c>
      <c r="N1228" s="7">
        <f t="shared" si="78"/>
        <v>0.5</v>
      </c>
      <c r="O1228" s="7">
        <f t="shared" si="79"/>
        <v>-0.69314718055994529</v>
      </c>
    </row>
    <row r="1229" spans="12:15" x14ac:dyDescent="0.15">
      <c r="L1229" s="7">
        <f t="shared" si="76"/>
        <v>0</v>
      </c>
      <c r="M1229" s="7">
        <f t="shared" si="77"/>
        <v>1</v>
      </c>
      <c r="N1229" s="7">
        <f t="shared" si="78"/>
        <v>0.5</v>
      </c>
      <c r="O1229" s="7">
        <f t="shared" si="79"/>
        <v>-0.69314718055994529</v>
      </c>
    </row>
    <row r="1230" spans="12:15" x14ac:dyDescent="0.15">
      <c r="L1230" s="7">
        <f t="shared" si="76"/>
        <v>0</v>
      </c>
      <c r="M1230" s="7">
        <f t="shared" si="77"/>
        <v>1</v>
      </c>
      <c r="N1230" s="7">
        <f t="shared" si="78"/>
        <v>0.5</v>
      </c>
      <c r="O1230" s="7">
        <f t="shared" si="79"/>
        <v>-0.69314718055994529</v>
      </c>
    </row>
    <row r="1231" spans="12:15" x14ac:dyDescent="0.15">
      <c r="L1231" s="7">
        <f t="shared" si="76"/>
        <v>0</v>
      </c>
      <c r="M1231" s="7">
        <f t="shared" si="77"/>
        <v>1</v>
      </c>
      <c r="N1231" s="7">
        <f t="shared" si="78"/>
        <v>0.5</v>
      </c>
      <c r="O1231" s="7">
        <f t="shared" si="79"/>
        <v>-0.69314718055994529</v>
      </c>
    </row>
    <row r="1232" spans="12:15" x14ac:dyDescent="0.15">
      <c r="L1232" s="7">
        <f t="shared" si="76"/>
        <v>0</v>
      </c>
      <c r="M1232" s="7">
        <f t="shared" si="77"/>
        <v>1</v>
      </c>
      <c r="N1232" s="7">
        <f t="shared" si="78"/>
        <v>0.5</v>
      </c>
      <c r="O1232" s="7">
        <f t="shared" si="79"/>
        <v>-0.69314718055994529</v>
      </c>
    </row>
    <row r="1233" spans="12:15" x14ac:dyDescent="0.15">
      <c r="L1233" s="7">
        <f t="shared" si="76"/>
        <v>0</v>
      </c>
      <c r="M1233" s="7">
        <f t="shared" si="77"/>
        <v>1</v>
      </c>
      <c r="N1233" s="7">
        <f t="shared" si="78"/>
        <v>0.5</v>
      </c>
      <c r="O1233" s="7">
        <f t="shared" si="79"/>
        <v>-0.69314718055994529</v>
      </c>
    </row>
    <row r="1234" spans="12:15" x14ac:dyDescent="0.15">
      <c r="L1234" s="7">
        <f t="shared" si="76"/>
        <v>0</v>
      </c>
      <c r="M1234" s="7">
        <f t="shared" si="77"/>
        <v>1</v>
      </c>
      <c r="N1234" s="7">
        <f t="shared" si="78"/>
        <v>0.5</v>
      </c>
      <c r="O1234" s="7">
        <f t="shared" si="79"/>
        <v>-0.69314718055994529</v>
      </c>
    </row>
    <row r="1235" spans="12:15" x14ac:dyDescent="0.15">
      <c r="L1235" s="7">
        <f t="shared" si="76"/>
        <v>0</v>
      </c>
      <c r="M1235" s="7">
        <f t="shared" si="77"/>
        <v>1</v>
      </c>
      <c r="N1235" s="7">
        <f t="shared" si="78"/>
        <v>0.5</v>
      </c>
      <c r="O1235" s="7">
        <f t="shared" si="79"/>
        <v>-0.69314718055994529</v>
      </c>
    </row>
    <row r="1236" spans="12:15" x14ac:dyDescent="0.15">
      <c r="L1236" s="7">
        <f t="shared" si="76"/>
        <v>0</v>
      </c>
      <c r="M1236" s="7">
        <f t="shared" si="77"/>
        <v>1</v>
      </c>
      <c r="N1236" s="7">
        <f t="shared" si="78"/>
        <v>0.5</v>
      </c>
      <c r="O1236" s="7">
        <f t="shared" si="79"/>
        <v>-0.69314718055994529</v>
      </c>
    </row>
    <row r="1237" spans="12:15" x14ac:dyDescent="0.15">
      <c r="L1237" s="7">
        <f t="shared" si="76"/>
        <v>0</v>
      </c>
      <c r="M1237" s="7">
        <f t="shared" si="77"/>
        <v>1</v>
      </c>
      <c r="N1237" s="7">
        <f t="shared" si="78"/>
        <v>0.5</v>
      </c>
      <c r="O1237" s="7">
        <f t="shared" si="79"/>
        <v>-0.69314718055994529</v>
      </c>
    </row>
    <row r="1238" spans="12:15" x14ac:dyDescent="0.15">
      <c r="L1238" s="7">
        <f t="shared" si="76"/>
        <v>0</v>
      </c>
      <c r="M1238" s="7">
        <f t="shared" si="77"/>
        <v>1</v>
      </c>
      <c r="N1238" s="7">
        <f t="shared" si="78"/>
        <v>0.5</v>
      </c>
      <c r="O1238" s="7">
        <f t="shared" si="79"/>
        <v>-0.69314718055994529</v>
      </c>
    </row>
    <row r="1239" spans="12:15" x14ac:dyDescent="0.15">
      <c r="L1239" s="7">
        <f t="shared" si="76"/>
        <v>0</v>
      </c>
      <c r="M1239" s="7">
        <f t="shared" si="77"/>
        <v>1</v>
      </c>
      <c r="N1239" s="7">
        <f t="shared" si="78"/>
        <v>0.5</v>
      </c>
      <c r="O1239" s="7">
        <f t="shared" si="79"/>
        <v>-0.69314718055994529</v>
      </c>
    </row>
    <row r="1240" spans="12:15" x14ac:dyDescent="0.15">
      <c r="L1240" s="7">
        <f t="shared" si="76"/>
        <v>0</v>
      </c>
      <c r="M1240" s="7">
        <f t="shared" si="77"/>
        <v>1</v>
      </c>
      <c r="N1240" s="7">
        <f t="shared" si="78"/>
        <v>0.5</v>
      </c>
      <c r="O1240" s="7">
        <f t="shared" si="79"/>
        <v>-0.69314718055994529</v>
      </c>
    </row>
    <row r="1241" spans="12:15" x14ac:dyDescent="0.15">
      <c r="L1241" s="7">
        <f t="shared" si="76"/>
        <v>0</v>
      </c>
      <c r="M1241" s="7">
        <f t="shared" si="77"/>
        <v>1</v>
      </c>
      <c r="N1241" s="7">
        <f t="shared" si="78"/>
        <v>0.5</v>
      </c>
      <c r="O1241" s="7">
        <f t="shared" si="79"/>
        <v>-0.69314718055994529</v>
      </c>
    </row>
    <row r="1242" spans="12:15" x14ac:dyDescent="0.15">
      <c r="L1242" s="7">
        <f t="shared" si="76"/>
        <v>0</v>
      </c>
      <c r="M1242" s="7">
        <f t="shared" si="77"/>
        <v>1</v>
      </c>
      <c r="N1242" s="7">
        <f t="shared" si="78"/>
        <v>0.5</v>
      </c>
      <c r="O1242" s="7">
        <f t="shared" si="79"/>
        <v>-0.69314718055994529</v>
      </c>
    </row>
    <row r="1243" spans="12:15" x14ac:dyDescent="0.15">
      <c r="L1243" s="7">
        <f t="shared" si="76"/>
        <v>0</v>
      </c>
      <c r="M1243" s="7">
        <f t="shared" si="77"/>
        <v>1</v>
      </c>
      <c r="N1243" s="7">
        <f t="shared" si="78"/>
        <v>0.5</v>
      </c>
      <c r="O1243" s="7">
        <f t="shared" si="79"/>
        <v>-0.69314718055994529</v>
      </c>
    </row>
    <row r="1244" spans="12:15" x14ac:dyDescent="0.15">
      <c r="L1244" s="7">
        <f t="shared" si="76"/>
        <v>0</v>
      </c>
      <c r="M1244" s="7">
        <f t="shared" si="77"/>
        <v>1</v>
      </c>
      <c r="N1244" s="7">
        <f t="shared" si="78"/>
        <v>0.5</v>
      </c>
      <c r="O1244" s="7">
        <f t="shared" si="79"/>
        <v>-0.69314718055994529</v>
      </c>
    </row>
    <row r="1245" spans="12:15" x14ac:dyDescent="0.15">
      <c r="L1245" s="7">
        <f t="shared" si="76"/>
        <v>0</v>
      </c>
      <c r="M1245" s="7">
        <f t="shared" si="77"/>
        <v>1</v>
      </c>
      <c r="N1245" s="7">
        <f t="shared" si="78"/>
        <v>0.5</v>
      </c>
      <c r="O1245" s="7">
        <f t="shared" si="79"/>
        <v>-0.69314718055994529</v>
      </c>
    </row>
    <row r="1246" spans="12:15" x14ac:dyDescent="0.15">
      <c r="L1246" s="7">
        <f t="shared" si="76"/>
        <v>0</v>
      </c>
      <c r="M1246" s="7">
        <f t="shared" si="77"/>
        <v>1</v>
      </c>
      <c r="N1246" s="7">
        <f t="shared" si="78"/>
        <v>0.5</v>
      </c>
      <c r="O1246" s="7">
        <f t="shared" si="79"/>
        <v>-0.69314718055994529</v>
      </c>
    </row>
    <row r="1247" spans="12:15" x14ac:dyDescent="0.15">
      <c r="L1247" s="7">
        <f t="shared" si="76"/>
        <v>0</v>
      </c>
      <c r="M1247" s="7">
        <f t="shared" si="77"/>
        <v>1</v>
      </c>
      <c r="N1247" s="7">
        <f t="shared" si="78"/>
        <v>0.5</v>
      </c>
      <c r="O1247" s="7">
        <f t="shared" si="79"/>
        <v>-0.69314718055994529</v>
      </c>
    </row>
    <row r="1248" spans="12:15" x14ac:dyDescent="0.15">
      <c r="L1248" s="7">
        <f t="shared" si="76"/>
        <v>0</v>
      </c>
      <c r="M1248" s="7">
        <f t="shared" si="77"/>
        <v>1</v>
      </c>
      <c r="N1248" s="7">
        <f t="shared" si="78"/>
        <v>0.5</v>
      </c>
      <c r="O1248" s="7">
        <f t="shared" si="79"/>
        <v>-0.69314718055994529</v>
      </c>
    </row>
    <row r="1249" spans="12:15" x14ac:dyDescent="0.15">
      <c r="L1249" s="7">
        <f t="shared" si="76"/>
        <v>0</v>
      </c>
      <c r="M1249" s="7">
        <f t="shared" si="77"/>
        <v>1</v>
      </c>
      <c r="N1249" s="7">
        <f t="shared" si="78"/>
        <v>0.5</v>
      </c>
      <c r="O1249" s="7">
        <f t="shared" si="79"/>
        <v>-0.69314718055994529</v>
      </c>
    </row>
    <row r="1250" spans="12:15" x14ac:dyDescent="0.15">
      <c r="L1250" s="7">
        <f t="shared" si="76"/>
        <v>0</v>
      </c>
      <c r="M1250" s="7">
        <f t="shared" si="77"/>
        <v>1</v>
      </c>
      <c r="N1250" s="7">
        <f t="shared" si="78"/>
        <v>0.5</v>
      </c>
      <c r="O1250" s="7">
        <f t="shared" si="79"/>
        <v>-0.69314718055994529</v>
      </c>
    </row>
    <row r="1251" spans="12:15" x14ac:dyDescent="0.15">
      <c r="L1251" s="7">
        <f t="shared" si="76"/>
        <v>0</v>
      </c>
      <c r="M1251" s="7">
        <f t="shared" si="77"/>
        <v>1</v>
      </c>
      <c r="N1251" s="7">
        <f t="shared" si="78"/>
        <v>0.5</v>
      </c>
      <c r="O1251" s="7">
        <f t="shared" si="79"/>
        <v>-0.69314718055994529</v>
      </c>
    </row>
    <row r="1252" spans="12:15" x14ac:dyDescent="0.15">
      <c r="L1252" s="7">
        <f t="shared" si="76"/>
        <v>0</v>
      </c>
      <c r="M1252" s="7">
        <f t="shared" si="77"/>
        <v>1</v>
      </c>
      <c r="N1252" s="7">
        <f t="shared" si="78"/>
        <v>0.5</v>
      </c>
      <c r="O1252" s="7">
        <f t="shared" si="79"/>
        <v>-0.69314718055994529</v>
      </c>
    </row>
    <row r="1253" spans="12:15" x14ac:dyDescent="0.15">
      <c r="L1253" s="7">
        <f t="shared" si="76"/>
        <v>0</v>
      </c>
      <c r="M1253" s="7">
        <f t="shared" si="77"/>
        <v>1</v>
      </c>
      <c r="N1253" s="7">
        <f t="shared" si="78"/>
        <v>0.5</v>
      </c>
      <c r="O1253" s="7">
        <f t="shared" si="79"/>
        <v>-0.69314718055994529</v>
      </c>
    </row>
    <row r="1254" spans="12:15" x14ac:dyDescent="0.15">
      <c r="L1254" s="7">
        <f t="shared" si="76"/>
        <v>0</v>
      </c>
      <c r="M1254" s="7">
        <f t="shared" si="77"/>
        <v>1</v>
      </c>
      <c r="N1254" s="7">
        <f t="shared" si="78"/>
        <v>0.5</v>
      </c>
      <c r="O1254" s="7">
        <f t="shared" si="79"/>
        <v>-0.69314718055994529</v>
      </c>
    </row>
    <row r="1255" spans="12:15" x14ac:dyDescent="0.15">
      <c r="L1255" s="7">
        <f t="shared" si="76"/>
        <v>0</v>
      </c>
      <c r="M1255" s="7">
        <f t="shared" si="77"/>
        <v>1</v>
      </c>
      <c r="N1255" s="7">
        <f t="shared" si="78"/>
        <v>0.5</v>
      </c>
      <c r="O1255" s="7">
        <f t="shared" si="79"/>
        <v>-0.69314718055994529</v>
      </c>
    </row>
    <row r="1256" spans="12:15" x14ac:dyDescent="0.15">
      <c r="L1256" s="7">
        <f t="shared" si="76"/>
        <v>0</v>
      </c>
      <c r="M1256" s="7">
        <f t="shared" si="77"/>
        <v>1</v>
      </c>
      <c r="N1256" s="7">
        <f t="shared" si="78"/>
        <v>0.5</v>
      </c>
      <c r="O1256" s="7">
        <f t="shared" si="79"/>
        <v>-0.69314718055994529</v>
      </c>
    </row>
    <row r="1257" spans="12:15" x14ac:dyDescent="0.15">
      <c r="L1257" s="7">
        <f t="shared" si="76"/>
        <v>0</v>
      </c>
      <c r="M1257" s="7">
        <f t="shared" si="77"/>
        <v>1</v>
      </c>
      <c r="N1257" s="7">
        <f t="shared" si="78"/>
        <v>0.5</v>
      </c>
      <c r="O1257" s="7">
        <f t="shared" si="79"/>
        <v>-0.69314718055994529</v>
      </c>
    </row>
    <row r="1258" spans="12:15" x14ac:dyDescent="0.15">
      <c r="L1258" s="7">
        <f t="shared" si="76"/>
        <v>0</v>
      </c>
      <c r="M1258" s="7">
        <f t="shared" si="77"/>
        <v>1</v>
      </c>
      <c r="N1258" s="7">
        <f t="shared" si="78"/>
        <v>0.5</v>
      </c>
      <c r="O1258" s="7">
        <f t="shared" si="79"/>
        <v>-0.69314718055994529</v>
      </c>
    </row>
    <row r="1259" spans="12:15" x14ac:dyDescent="0.15">
      <c r="L1259" s="7">
        <f t="shared" si="76"/>
        <v>0</v>
      </c>
      <c r="M1259" s="7">
        <f t="shared" si="77"/>
        <v>1</v>
      </c>
      <c r="N1259" s="7">
        <f t="shared" si="78"/>
        <v>0.5</v>
      </c>
      <c r="O1259" s="7">
        <f t="shared" si="79"/>
        <v>-0.69314718055994529</v>
      </c>
    </row>
    <row r="1260" spans="12:15" x14ac:dyDescent="0.15">
      <c r="L1260" s="7">
        <f t="shared" si="76"/>
        <v>0</v>
      </c>
      <c r="M1260" s="7">
        <f t="shared" si="77"/>
        <v>1</v>
      </c>
      <c r="N1260" s="7">
        <f t="shared" si="78"/>
        <v>0.5</v>
      </c>
      <c r="O1260" s="7">
        <f t="shared" si="79"/>
        <v>-0.69314718055994529</v>
      </c>
    </row>
    <row r="1261" spans="12:15" x14ac:dyDescent="0.15">
      <c r="L1261" s="7">
        <f t="shared" si="76"/>
        <v>0</v>
      </c>
      <c r="M1261" s="7">
        <f t="shared" si="77"/>
        <v>1</v>
      </c>
      <c r="N1261" s="7">
        <f t="shared" si="78"/>
        <v>0.5</v>
      </c>
      <c r="O1261" s="7">
        <f t="shared" si="79"/>
        <v>-0.69314718055994529</v>
      </c>
    </row>
    <row r="1262" spans="12:15" x14ac:dyDescent="0.15">
      <c r="L1262" s="7">
        <f t="shared" si="76"/>
        <v>0</v>
      </c>
      <c r="M1262" s="7">
        <f t="shared" si="77"/>
        <v>1</v>
      </c>
      <c r="N1262" s="7">
        <f t="shared" si="78"/>
        <v>0.5</v>
      </c>
      <c r="O1262" s="7">
        <f t="shared" si="79"/>
        <v>-0.69314718055994529</v>
      </c>
    </row>
    <row r="1263" spans="12:15" x14ac:dyDescent="0.15">
      <c r="L1263" s="7">
        <f t="shared" si="76"/>
        <v>0</v>
      </c>
      <c r="M1263" s="7">
        <f t="shared" si="77"/>
        <v>1</v>
      </c>
      <c r="N1263" s="7">
        <f t="shared" si="78"/>
        <v>0.5</v>
      </c>
      <c r="O1263" s="7">
        <f t="shared" si="79"/>
        <v>-0.69314718055994529</v>
      </c>
    </row>
    <row r="1264" spans="12:15" x14ac:dyDescent="0.15">
      <c r="L1264" s="7">
        <f t="shared" si="76"/>
        <v>0</v>
      </c>
      <c r="M1264" s="7">
        <f t="shared" si="77"/>
        <v>1</v>
      </c>
      <c r="N1264" s="7">
        <f t="shared" si="78"/>
        <v>0.5</v>
      </c>
      <c r="O1264" s="7">
        <f t="shared" si="79"/>
        <v>-0.69314718055994529</v>
      </c>
    </row>
    <row r="1265" spans="12:15" x14ac:dyDescent="0.15">
      <c r="L1265" s="7">
        <f t="shared" si="76"/>
        <v>0</v>
      </c>
      <c r="M1265" s="7">
        <f t="shared" si="77"/>
        <v>1</v>
      </c>
      <c r="N1265" s="7">
        <f t="shared" si="78"/>
        <v>0.5</v>
      </c>
      <c r="O1265" s="7">
        <f t="shared" si="79"/>
        <v>-0.69314718055994529</v>
      </c>
    </row>
    <row r="1266" spans="12:15" x14ac:dyDescent="0.15">
      <c r="L1266" s="7">
        <f t="shared" si="76"/>
        <v>0</v>
      </c>
      <c r="M1266" s="7">
        <f t="shared" si="77"/>
        <v>1</v>
      </c>
      <c r="N1266" s="7">
        <f t="shared" si="78"/>
        <v>0.5</v>
      </c>
      <c r="O1266" s="7">
        <f t="shared" si="79"/>
        <v>-0.69314718055994529</v>
      </c>
    </row>
    <row r="1267" spans="12:15" x14ac:dyDescent="0.15">
      <c r="L1267" s="7">
        <f t="shared" si="76"/>
        <v>0</v>
      </c>
      <c r="M1267" s="7">
        <f t="shared" si="77"/>
        <v>1</v>
      </c>
      <c r="N1267" s="7">
        <f t="shared" si="78"/>
        <v>0.5</v>
      </c>
      <c r="O1267" s="7">
        <f t="shared" si="79"/>
        <v>-0.69314718055994529</v>
      </c>
    </row>
    <row r="1268" spans="12:15" x14ac:dyDescent="0.15">
      <c r="L1268" s="7">
        <f t="shared" si="76"/>
        <v>0</v>
      </c>
      <c r="M1268" s="7">
        <f t="shared" si="77"/>
        <v>1</v>
      </c>
      <c r="N1268" s="7">
        <f t="shared" si="78"/>
        <v>0.5</v>
      </c>
      <c r="O1268" s="7">
        <f t="shared" si="79"/>
        <v>-0.69314718055994529</v>
      </c>
    </row>
    <row r="1269" spans="12:15" x14ac:dyDescent="0.15">
      <c r="L1269" s="7">
        <f t="shared" si="76"/>
        <v>0</v>
      </c>
      <c r="M1269" s="7">
        <f t="shared" si="77"/>
        <v>1</v>
      </c>
      <c r="N1269" s="7">
        <f t="shared" si="78"/>
        <v>0.5</v>
      </c>
      <c r="O1269" s="7">
        <f t="shared" si="79"/>
        <v>-0.69314718055994529</v>
      </c>
    </row>
    <row r="1270" spans="12:15" x14ac:dyDescent="0.15">
      <c r="L1270" s="7">
        <f t="shared" si="76"/>
        <v>0</v>
      </c>
      <c r="M1270" s="7">
        <f t="shared" si="77"/>
        <v>1</v>
      </c>
      <c r="N1270" s="7">
        <f t="shared" si="78"/>
        <v>0.5</v>
      </c>
      <c r="O1270" s="7">
        <f t="shared" si="79"/>
        <v>-0.69314718055994529</v>
      </c>
    </row>
    <row r="1271" spans="12:15" x14ac:dyDescent="0.15">
      <c r="L1271" s="7">
        <f t="shared" si="76"/>
        <v>0</v>
      </c>
      <c r="M1271" s="7">
        <f t="shared" si="77"/>
        <v>1</v>
      </c>
      <c r="N1271" s="7">
        <f t="shared" si="78"/>
        <v>0.5</v>
      </c>
      <c r="O1271" s="7">
        <f t="shared" si="79"/>
        <v>-0.69314718055994529</v>
      </c>
    </row>
    <row r="1272" spans="12:15" x14ac:dyDescent="0.15">
      <c r="L1272" s="7">
        <f t="shared" si="76"/>
        <v>0</v>
      </c>
      <c r="M1272" s="7">
        <f t="shared" si="77"/>
        <v>1</v>
      </c>
      <c r="N1272" s="7">
        <f t="shared" si="78"/>
        <v>0.5</v>
      </c>
      <c r="O1272" s="7">
        <f t="shared" si="79"/>
        <v>-0.69314718055994529</v>
      </c>
    </row>
    <row r="1273" spans="12:15" x14ac:dyDescent="0.15">
      <c r="L1273" s="7">
        <f t="shared" si="76"/>
        <v>0</v>
      </c>
      <c r="M1273" s="7">
        <f t="shared" si="77"/>
        <v>1</v>
      </c>
      <c r="N1273" s="7">
        <f t="shared" si="78"/>
        <v>0.5</v>
      </c>
      <c r="O1273" s="7">
        <f t="shared" si="79"/>
        <v>-0.69314718055994529</v>
      </c>
    </row>
    <row r="1274" spans="12:15" x14ac:dyDescent="0.15">
      <c r="L1274" s="7">
        <f t="shared" si="76"/>
        <v>0</v>
      </c>
      <c r="M1274" s="7">
        <f t="shared" si="77"/>
        <v>1</v>
      </c>
      <c r="N1274" s="7">
        <f t="shared" si="78"/>
        <v>0.5</v>
      </c>
      <c r="O1274" s="7">
        <f t="shared" si="79"/>
        <v>-0.69314718055994529</v>
      </c>
    </row>
    <row r="1275" spans="12:15" x14ac:dyDescent="0.15">
      <c r="L1275" s="7">
        <f t="shared" si="76"/>
        <v>0</v>
      </c>
      <c r="M1275" s="7">
        <f t="shared" si="77"/>
        <v>1</v>
      </c>
      <c r="N1275" s="7">
        <f t="shared" si="78"/>
        <v>0.5</v>
      </c>
      <c r="O1275" s="7">
        <f t="shared" si="79"/>
        <v>-0.69314718055994529</v>
      </c>
    </row>
    <row r="1276" spans="12:15" x14ac:dyDescent="0.15">
      <c r="L1276" s="7">
        <f t="shared" si="76"/>
        <v>0</v>
      </c>
      <c r="M1276" s="7">
        <f t="shared" si="77"/>
        <v>1</v>
      </c>
      <c r="N1276" s="7">
        <f t="shared" si="78"/>
        <v>0.5</v>
      </c>
      <c r="O1276" s="7">
        <f t="shared" si="79"/>
        <v>-0.69314718055994529</v>
      </c>
    </row>
    <row r="1277" spans="12:15" x14ac:dyDescent="0.15">
      <c r="L1277" s="7">
        <f t="shared" si="76"/>
        <v>0</v>
      </c>
      <c r="M1277" s="7">
        <f t="shared" si="77"/>
        <v>1</v>
      </c>
      <c r="N1277" s="7">
        <f t="shared" si="78"/>
        <v>0.5</v>
      </c>
      <c r="O1277" s="7">
        <f t="shared" si="79"/>
        <v>-0.69314718055994529</v>
      </c>
    </row>
    <row r="1278" spans="12:15" x14ac:dyDescent="0.15">
      <c r="L1278" s="7">
        <f t="shared" si="76"/>
        <v>0</v>
      </c>
      <c r="M1278" s="7">
        <f t="shared" si="77"/>
        <v>1</v>
      </c>
      <c r="N1278" s="7">
        <f t="shared" si="78"/>
        <v>0.5</v>
      </c>
      <c r="O1278" s="7">
        <f t="shared" si="79"/>
        <v>-0.69314718055994529</v>
      </c>
    </row>
    <row r="1279" spans="12:15" x14ac:dyDescent="0.15">
      <c r="L1279" s="7">
        <f t="shared" si="76"/>
        <v>0</v>
      </c>
      <c r="M1279" s="7">
        <f t="shared" si="77"/>
        <v>1</v>
      </c>
      <c r="N1279" s="7">
        <f t="shared" si="78"/>
        <v>0.5</v>
      </c>
      <c r="O1279" s="7">
        <f t="shared" si="79"/>
        <v>-0.69314718055994529</v>
      </c>
    </row>
    <row r="1280" spans="12:15" x14ac:dyDescent="0.15">
      <c r="L1280" s="7">
        <f t="shared" si="76"/>
        <v>0</v>
      </c>
      <c r="M1280" s="7">
        <f t="shared" si="77"/>
        <v>1</v>
      </c>
      <c r="N1280" s="7">
        <f t="shared" si="78"/>
        <v>0.5</v>
      </c>
      <c r="O1280" s="7">
        <f t="shared" si="79"/>
        <v>-0.69314718055994529</v>
      </c>
    </row>
    <row r="1281" spans="12:15" x14ac:dyDescent="0.15">
      <c r="L1281" s="7">
        <f t="shared" si="76"/>
        <v>0</v>
      </c>
      <c r="M1281" s="7">
        <f t="shared" si="77"/>
        <v>1</v>
      </c>
      <c r="N1281" s="7">
        <f t="shared" si="78"/>
        <v>0.5</v>
      </c>
      <c r="O1281" s="7">
        <f t="shared" si="79"/>
        <v>-0.69314718055994529</v>
      </c>
    </row>
    <row r="1282" spans="12:15" x14ac:dyDescent="0.15">
      <c r="L1282" s="7">
        <f t="shared" si="76"/>
        <v>0</v>
      </c>
      <c r="M1282" s="7">
        <f t="shared" si="77"/>
        <v>1</v>
      </c>
      <c r="N1282" s="7">
        <f t="shared" si="78"/>
        <v>0.5</v>
      </c>
      <c r="O1282" s="7">
        <f t="shared" si="79"/>
        <v>-0.69314718055994529</v>
      </c>
    </row>
    <row r="1283" spans="12:15" x14ac:dyDescent="0.15">
      <c r="L1283" s="7">
        <f t="shared" ref="L1283:L1346" si="80">$Q$1 + $Q$2*B1283+$Q$3*C1283+ $Q$4*D1283+$Q$5*E1283+$Q$6*F1283+$Q$7*G1283+H1283*$Q$8+I1283*$Q$9+J1283*$Q$10+K1283*$Q$11</f>
        <v>0</v>
      </c>
      <c r="M1283" s="7">
        <f t="shared" ref="M1283:M1346" si="81">EXP(L1283)</f>
        <v>1</v>
      </c>
      <c r="N1283" s="7">
        <f t="shared" ref="N1283:N1346" si="82">1/(1+M1283)</f>
        <v>0.5</v>
      </c>
      <c r="O1283" s="7">
        <f t="shared" ref="O1283:O1346" si="83">A1283*LN(N1283)+(1-A1283)*LN(1-N1283)</f>
        <v>-0.69314718055994529</v>
      </c>
    </row>
    <row r="1284" spans="12:15" x14ac:dyDescent="0.15">
      <c r="L1284" s="7">
        <f t="shared" si="80"/>
        <v>0</v>
      </c>
      <c r="M1284" s="7">
        <f t="shared" si="81"/>
        <v>1</v>
      </c>
      <c r="N1284" s="7">
        <f t="shared" si="82"/>
        <v>0.5</v>
      </c>
      <c r="O1284" s="7">
        <f t="shared" si="83"/>
        <v>-0.69314718055994529</v>
      </c>
    </row>
    <row r="1285" spans="12:15" x14ac:dyDescent="0.15">
      <c r="L1285" s="7">
        <f t="shared" si="80"/>
        <v>0</v>
      </c>
      <c r="M1285" s="7">
        <f t="shared" si="81"/>
        <v>1</v>
      </c>
      <c r="N1285" s="7">
        <f t="shared" si="82"/>
        <v>0.5</v>
      </c>
      <c r="O1285" s="7">
        <f t="shared" si="83"/>
        <v>-0.69314718055994529</v>
      </c>
    </row>
    <row r="1286" spans="12:15" x14ac:dyDescent="0.15">
      <c r="L1286" s="7">
        <f t="shared" si="80"/>
        <v>0</v>
      </c>
      <c r="M1286" s="7">
        <f t="shared" si="81"/>
        <v>1</v>
      </c>
      <c r="N1286" s="7">
        <f t="shared" si="82"/>
        <v>0.5</v>
      </c>
      <c r="O1286" s="7">
        <f t="shared" si="83"/>
        <v>-0.69314718055994529</v>
      </c>
    </row>
    <row r="1287" spans="12:15" x14ac:dyDescent="0.15">
      <c r="L1287" s="7">
        <f t="shared" si="80"/>
        <v>0</v>
      </c>
      <c r="M1287" s="7">
        <f t="shared" si="81"/>
        <v>1</v>
      </c>
      <c r="N1287" s="7">
        <f t="shared" si="82"/>
        <v>0.5</v>
      </c>
      <c r="O1287" s="7">
        <f t="shared" si="83"/>
        <v>-0.69314718055994529</v>
      </c>
    </row>
    <row r="1288" spans="12:15" x14ac:dyDescent="0.15">
      <c r="L1288" s="7">
        <f t="shared" si="80"/>
        <v>0</v>
      </c>
      <c r="M1288" s="7">
        <f t="shared" si="81"/>
        <v>1</v>
      </c>
      <c r="N1288" s="7">
        <f t="shared" si="82"/>
        <v>0.5</v>
      </c>
      <c r="O1288" s="7">
        <f t="shared" si="83"/>
        <v>-0.69314718055994529</v>
      </c>
    </row>
    <row r="1289" spans="12:15" x14ac:dyDescent="0.15">
      <c r="L1289" s="7">
        <f t="shared" si="80"/>
        <v>0</v>
      </c>
      <c r="M1289" s="7">
        <f t="shared" si="81"/>
        <v>1</v>
      </c>
      <c r="N1289" s="7">
        <f t="shared" si="82"/>
        <v>0.5</v>
      </c>
      <c r="O1289" s="7">
        <f t="shared" si="83"/>
        <v>-0.69314718055994529</v>
      </c>
    </row>
    <row r="1290" spans="12:15" x14ac:dyDescent="0.15">
      <c r="L1290" s="7">
        <f t="shared" si="80"/>
        <v>0</v>
      </c>
      <c r="M1290" s="7">
        <f t="shared" si="81"/>
        <v>1</v>
      </c>
      <c r="N1290" s="7">
        <f t="shared" si="82"/>
        <v>0.5</v>
      </c>
      <c r="O1290" s="7">
        <f t="shared" si="83"/>
        <v>-0.69314718055994529</v>
      </c>
    </row>
    <row r="1291" spans="12:15" x14ac:dyDescent="0.15">
      <c r="L1291" s="7">
        <f t="shared" si="80"/>
        <v>0</v>
      </c>
      <c r="M1291" s="7">
        <f t="shared" si="81"/>
        <v>1</v>
      </c>
      <c r="N1291" s="7">
        <f t="shared" si="82"/>
        <v>0.5</v>
      </c>
      <c r="O1291" s="7">
        <f t="shared" si="83"/>
        <v>-0.69314718055994529</v>
      </c>
    </row>
    <row r="1292" spans="12:15" x14ac:dyDescent="0.15">
      <c r="L1292" s="7">
        <f t="shared" si="80"/>
        <v>0</v>
      </c>
      <c r="M1292" s="7">
        <f t="shared" si="81"/>
        <v>1</v>
      </c>
      <c r="N1292" s="7">
        <f t="shared" si="82"/>
        <v>0.5</v>
      </c>
      <c r="O1292" s="7">
        <f t="shared" si="83"/>
        <v>-0.69314718055994529</v>
      </c>
    </row>
    <row r="1293" spans="12:15" x14ac:dyDescent="0.15">
      <c r="L1293" s="7">
        <f t="shared" si="80"/>
        <v>0</v>
      </c>
      <c r="M1293" s="7">
        <f t="shared" si="81"/>
        <v>1</v>
      </c>
      <c r="N1293" s="7">
        <f t="shared" si="82"/>
        <v>0.5</v>
      </c>
      <c r="O1293" s="7">
        <f t="shared" si="83"/>
        <v>-0.69314718055994529</v>
      </c>
    </row>
    <row r="1294" spans="12:15" x14ac:dyDescent="0.15">
      <c r="L1294" s="7">
        <f t="shared" si="80"/>
        <v>0</v>
      </c>
      <c r="M1294" s="7">
        <f t="shared" si="81"/>
        <v>1</v>
      </c>
      <c r="N1294" s="7">
        <f t="shared" si="82"/>
        <v>0.5</v>
      </c>
      <c r="O1294" s="7">
        <f t="shared" si="83"/>
        <v>-0.69314718055994529</v>
      </c>
    </row>
    <row r="1295" spans="12:15" x14ac:dyDescent="0.15">
      <c r="L1295" s="7">
        <f t="shared" si="80"/>
        <v>0</v>
      </c>
      <c r="M1295" s="7">
        <f t="shared" si="81"/>
        <v>1</v>
      </c>
      <c r="N1295" s="7">
        <f t="shared" si="82"/>
        <v>0.5</v>
      </c>
      <c r="O1295" s="7">
        <f t="shared" si="83"/>
        <v>-0.69314718055994529</v>
      </c>
    </row>
    <row r="1296" spans="12:15" x14ac:dyDescent="0.15">
      <c r="L1296" s="7">
        <f t="shared" si="80"/>
        <v>0</v>
      </c>
      <c r="M1296" s="7">
        <f t="shared" si="81"/>
        <v>1</v>
      </c>
      <c r="N1296" s="7">
        <f t="shared" si="82"/>
        <v>0.5</v>
      </c>
      <c r="O1296" s="7">
        <f t="shared" si="83"/>
        <v>-0.69314718055994529</v>
      </c>
    </row>
    <row r="1297" spans="12:15" x14ac:dyDescent="0.15">
      <c r="L1297" s="7">
        <f t="shared" si="80"/>
        <v>0</v>
      </c>
      <c r="M1297" s="7">
        <f t="shared" si="81"/>
        <v>1</v>
      </c>
      <c r="N1297" s="7">
        <f t="shared" si="82"/>
        <v>0.5</v>
      </c>
      <c r="O1297" s="7">
        <f t="shared" si="83"/>
        <v>-0.69314718055994529</v>
      </c>
    </row>
    <row r="1298" spans="12:15" x14ac:dyDescent="0.15">
      <c r="L1298" s="7">
        <f t="shared" si="80"/>
        <v>0</v>
      </c>
      <c r="M1298" s="7">
        <f t="shared" si="81"/>
        <v>1</v>
      </c>
      <c r="N1298" s="7">
        <f t="shared" si="82"/>
        <v>0.5</v>
      </c>
      <c r="O1298" s="7">
        <f t="shared" si="83"/>
        <v>-0.69314718055994529</v>
      </c>
    </row>
    <row r="1299" spans="12:15" x14ac:dyDescent="0.15">
      <c r="L1299" s="7">
        <f t="shared" si="80"/>
        <v>0</v>
      </c>
      <c r="M1299" s="7">
        <f t="shared" si="81"/>
        <v>1</v>
      </c>
      <c r="N1299" s="7">
        <f t="shared" si="82"/>
        <v>0.5</v>
      </c>
      <c r="O1299" s="7">
        <f t="shared" si="83"/>
        <v>-0.69314718055994529</v>
      </c>
    </row>
    <row r="1300" spans="12:15" x14ac:dyDescent="0.15">
      <c r="L1300" s="7">
        <f t="shared" si="80"/>
        <v>0</v>
      </c>
      <c r="M1300" s="7">
        <f t="shared" si="81"/>
        <v>1</v>
      </c>
      <c r="N1300" s="7">
        <f t="shared" si="82"/>
        <v>0.5</v>
      </c>
      <c r="O1300" s="7">
        <f t="shared" si="83"/>
        <v>-0.69314718055994529</v>
      </c>
    </row>
    <row r="1301" spans="12:15" x14ac:dyDescent="0.15">
      <c r="L1301" s="7">
        <f t="shared" si="80"/>
        <v>0</v>
      </c>
      <c r="M1301" s="7">
        <f t="shared" si="81"/>
        <v>1</v>
      </c>
      <c r="N1301" s="7">
        <f t="shared" si="82"/>
        <v>0.5</v>
      </c>
      <c r="O1301" s="7">
        <f t="shared" si="83"/>
        <v>-0.69314718055994529</v>
      </c>
    </row>
    <row r="1302" spans="12:15" x14ac:dyDescent="0.15">
      <c r="L1302" s="7">
        <f t="shared" si="80"/>
        <v>0</v>
      </c>
      <c r="M1302" s="7">
        <f t="shared" si="81"/>
        <v>1</v>
      </c>
      <c r="N1302" s="7">
        <f t="shared" si="82"/>
        <v>0.5</v>
      </c>
      <c r="O1302" s="7">
        <f t="shared" si="83"/>
        <v>-0.69314718055994529</v>
      </c>
    </row>
    <row r="1303" spans="12:15" x14ac:dyDescent="0.15">
      <c r="L1303" s="7">
        <f t="shared" si="80"/>
        <v>0</v>
      </c>
      <c r="M1303" s="7">
        <f t="shared" si="81"/>
        <v>1</v>
      </c>
      <c r="N1303" s="7">
        <f t="shared" si="82"/>
        <v>0.5</v>
      </c>
      <c r="O1303" s="7">
        <f t="shared" si="83"/>
        <v>-0.69314718055994529</v>
      </c>
    </row>
    <row r="1304" spans="12:15" x14ac:dyDescent="0.15">
      <c r="L1304" s="7">
        <f t="shared" si="80"/>
        <v>0</v>
      </c>
      <c r="M1304" s="7">
        <f t="shared" si="81"/>
        <v>1</v>
      </c>
      <c r="N1304" s="7">
        <f t="shared" si="82"/>
        <v>0.5</v>
      </c>
      <c r="O1304" s="7">
        <f t="shared" si="83"/>
        <v>-0.69314718055994529</v>
      </c>
    </row>
    <row r="1305" spans="12:15" x14ac:dyDescent="0.15">
      <c r="L1305" s="7">
        <f t="shared" si="80"/>
        <v>0</v>
      </c>
      <c r="M1305" s="7">
        <f t="shared" si="81"/>
        <v>1</v>
      </c>
      <c r="N1305" s="7">
        <f t="shared" si="82"/>
        <v>0.5</v>
      </c>
      <c r="O1305" s="7">
        <f t="shared" si="83"/>
        <v>-0.69314718055994529</v>
      </c>
    </row>
    <row r="1306" spans="12:15" x14ac:dyDescent="0.15">
      <c r="L1306" s="7">
        <f t="shared" si="80"/>
        <v>0</v>
      </c>
      <c r="M1306" s="7">
        <f t="shared" si="81"/>
        <v>1</v>
      </c>
      <c r="N1306" s="7">
        <f t="shared" si="82"/>
        <v>0.5</v>
      </c>
      <c r="O1306" s="7">
        <f t="shared" si="83"/>
        <v>-0.69314718055994529</v>
      </c>
    </row>
    <row r="1307" spans="12:15" x14ac:dyDescent="0.15">
      <c r="L1307" s="7">
        <f t="shared" si="80"/>
        <v>0</v>
      </c>
      <c r="M1307" s="7">
        <f t="shared" si="81"/>
        <v>1</v>
      </c>
      <c r="N1307" s="7">
        <f t="shared" si="82"/>
        <v>0.5</v>
      </c>
      <c r="O1307" s="7">
        <f t="shared" si="83"/>
        <v>-0.69314718055994529</v>
      </c>
    </row>
    <row r="1308" spans="12:15" x14ac:dyDescent="0.15">
      <c r="L1308" s="7">
        <f t="shared" si="80"/>
        <v>0</v>
      </c>
      <c r="M1308" s="7">
        <f t="shared" si="81"/>
        <v>1</v>
      </c>
      <c r="N1308" s="7">
        <f t="shared" si="82"/>
        <v>0.5</v>
      </c>
      <c r="O1308" s="7">
        <f t="shared" si="83"/>
        <v>-0.69314718055994529</v>
      </c>
    </row>
    <row r="1309" spans="12:15" x14ac:dyDescent="0.15">
      <c r="L1309" s="7">
        <f t="shared" si="80"/>
        <v>0</v>
      </c>
      <c r="M1309" s="7">
        <f t="shared" si="81"/>
        <v>1</v>
      </c>
      <c r="N1309" s="7">
        <f t="shared" si="82"/>
        <v>0.5</v>
      </c>
      <c r="O1309" s="7">
        <f t="shared" si="83"/>
        <v>-0.69314718055994529</v>
      </c>
    </row>
    <row r="1310" spans="12:15" x14ac:dyDescent="0.15">
      <c r="L1310" s="7">
        <f t="shared" si="80"/>
        <v>0</v>
      </c>
      <c r="M1310" s="7">
        <f t="shared" si="81"/>
        <v>1</v>
      </c>
      <c r="N1310" s="7">
        <f t="shared" si="82"/>
        <v>0.5</v>
      </c>
      <c r="O1310" s="7">
        <f t="shared" si="83"/>
        <v>-0.69314718055994529</v>
      </c>
    </row>
    <row r="1311" spans="12:15" x14ac:dyDescent="0.15">
      <c r="L1311" s="7">
        <f t="shared" si="80"/>
        <v>0</v>
      </c>
      <c r="M1311" s="7">
        <f t="shared" si="81"/>
        <v>1</v>
      </c>
      <c r="N1311" s="7">
        <f t="shared" si="82"/>
        <v>0.5</v>
      </c>
      <c r="O1311" s="7">
        <f t="shared" si="83"/>
        <v>-0.69314718055994529</v>
      </c>
    </row>
    <row r="1312" spans="12:15" x14ac:dyDescent="0.15">
      <c r="L1312" s="7">
        <f t="shared" si="80"/>
        <v>0</v>
      </c>
      <c r="M1312" s="7">
        <f t="shared" si="81"/>
        <v>1</v>
      </c>
      <c r="N1312" s="7">
        <f t="shared" si="82"/>
        <v>0.5</v>
      </c>
      <c r="O1312" s="7">
        <f t="shared" si="83"/>
        <v>-0.69314718055994529</v>
      </c>
    </row>
    <row r="1313" spans="12:15" x14ac:dyDescent="0.15">
      <c r="L1313" s="7">
        <f t="shared" si="80"/>
        <v>0</v>
      </c>
      <c r="M1313" s="7">
        <f t="shared" si="81"/>
        <v>1</v>
      </c>
      <c r="N1313" s="7">
        <f t="shared" si="82"/>
        <v>0.5</v>
      </c>
      <c r="O1313" s="7">
        <f t="shared" si="83"/>
        <v>-0.69314718055994529</v>
      </c>
    </row>
    <row r="1314" spans="12:15" x14ac:dyDescent="0.15">
      <c r="L1314" s="7">
        <f t="shared" si="80"/>
        <v>0</v>
      </c>
      <c r="M1314" s="7">
        <f t="shared" si="81"/>
        <v>1</v>
      </c>
      <c r="N1314" s="7">
        <f t="shared" si="82"/>
        <v>0.5</v>
      </c>
      <c r="O1314" s="7">
        <f t="shared" si="83"/>
        <v>-0.69314718055994529</v>
      </c>
    </row>
    <row r="1315" spans="12:15" x14ac:dyDescent="0.15">
      <c r="L1315" s="7">
        <f t="shared" si="80"/>
        <v>0</v>
      </c>
      <c r="M1315" s="7">
        <f t="shared" si="81"/>
        <v>1</v>
      </c>
      <c r="N1315" s="7">
        <f t="shared" si="82"/>
        <v>0.5</v>
      </c>
      <c r="O1315" s="7">
        <f t="shared" si="83"/>
        <v>-0.69314718055994529</v>
      </c>
    </row>
    <row r="1316" spans="12:15" x14ac:dyDescent="0.15">
      <c r="L1316" s="7">
        <f t="shared" si="80"/>
        <v>0</v>
      </c>
      <c r="M1316" s="7">
        <f t="shared" si="81"/>
        <v>1</v>
      </c>
      <c r="N1316" s="7">
        <f t="shared" si="82"/>
        <v>0.5</v>
      </c>
      <c r="O1316" s="7">
        <f t="shared" si="83"/>
        <v>-0.69314718055994529</v>
      </c>
    </row>
    <row r="1317" spans="12:15" x14ac:dyDescent="0.15">
      <c r="L1317" s="7">
        <f t="shared" si="80"/>
        <v>0</v>
      </c>
      <c r="M1317" s="7">
        <f t="shared" si="81"/>
        <v>1</v>
      </c>
      <c r="N1317" s="7">
        <f t="shared" si="82"/>
        <v>0.5</v>
      </c>
      <c r="O1317" s="7">
        <f t="shared" si="83"/>
        <v>-0.69314718055994529</v>
      </c>
    </row>
    <row r="1318" spans="12:15" x14ac:dyDescent="0.15">
      <c r="L1318" s="7">
        <f t="shared" si="80"/>
        <v>0</v>
      </c>
      <c r="M1318" s="7">
        <f t="shared" si="81"/>
        <v>1</v>
      </c>
      <c r="N1318" s="7">
        <f t="shared" si="82"/>
        <v>0.5</v>
      </c>
      <c r="O1318" s="7">
        <f t="shared" si="83"/>
        <v>-0.69314718055994529</v>
      </c>
    </row>
    <row r="1319" spans="12:15" x14ac:dyDescent="0.15">
      <c r="L1319" s="7">
        <f t="shared" si="80"/>
        <v>0</v>
      </c>
      <c r="M1319" s="7">
        <f t="shared" si="81"/>
        <v>1</v>
      </c>
      <c r="N1319" s="7">
        <f t="shared" si="82"/>
        <v>0.5</v>
      </c>
      <c r="O1319" s="7">
        <f t="shared" si="83"/>
        <v>-0.69314718055994529</v>
      </c>
    </row>
    <row r="1320" spans="12:15" x14ac:dyDescent="0.15">
      <c r="L1320" s="7">
        <f t="shared" si="80"/>
        <v>0</v>
      </c>
      <c r="M1320" s="7">
        <f t="shared" si="81"/>
        <v>1</v>
      </c>
      <c r="N1320" s="7">
        <f t="shared" si="82"/>
        <v>0.5</v>
      </c>
      <c r="O1320" s="7">
        <f t="shared" si="83"/>
        <v>-0.69314718055994529</v>
      </c>
    </row>
    <row r="1321" spans="12:15" x14ac:dyDescent="0.15">
      <c r="L1321" s="7">
        <f t="shared" si="80"/>
        <v>0</v>
      </c>
      <c r="M1321" s="7">
        <f t="shared" si="81"/>
        <v>1</v>
      </c>
      <c r="N1321" s="7">
        <f t="shared" si="82"/>
        <v>0.5</v>
      </c>
      <c r="O1321" s="7">
        <f t="shared" si="83"/>
        <v>-0.69314718055994529</v>
      </c>
    </row>
    <row r="1322" spans="12:15" x14ac:dyDescent="0.15">
      <c r="L1322" s="7">
        <f t="shared" si="80"/>
        <v>0</v>
      </c>
      <c r="M1322" s="7">
        <f t="shared" si="81"/>
        <v>1</v>
      </c>
      <c r="N1322" s="7">
        <f t="shared" si="82"/>
        <v>0.5</v>
      </c>
      <c r="O1322" s="7">
        <f t="shared" si="83"/>
        <v>-0.69314718055994529</v>
      </c>
    </row>
    <row r="1323" spans="12:15" x14ac:dyDescent="0.15">
      <c r="L1323" s="7">
        <f t="shared" si="80"/>
        <v>0</v>
      </c>
      <c r="M1323" s="7">
        <f t="shared" si="81"/>
        <v>1</v>
      </c>
      <c r="N1323" s="7">
        <f t="shared" si="82"/>
        <v>0.5</v>
      </c>
      <c r="O1323" s="7">
        <f t="shared" si="83"/>
        <v>-0.69314718055994529</v>
      </c>
    </row>
    <row r="1324" spans="12:15" x14ac:dyDescent="0.15">
      <c r="L1324" s="7">
        <f t="shared" si="80"/>
        <v>0</v>
      </c>
      <c r="M1324" s="7">
        <f t="shared" si="81"/>
        <v>1</v>
      </c>
      <c r="N1324" s="7">
        <f t="shared" si="82"/>
        <v>0.5</v>
      </c>
      <c r="O1324" s="7">
        <f t="shared" si="83"/>
        <v>-0.69314718055994529</v>
      </c>
    </row>
    <row r="1325" spans="12:15" x14ac:dyDescent="0.15">
      <c r="L1325" s="7">
        <f t="shared" si="80"/>
        <v>0</v>
      </c>
      <c r="M1325" s="7">
        <f t="shared" si="81"/>
        <v>1</v>
      </c>
      <c r="N1325" s="7">
        <f t="shared" si="82"/>
        <v>0.5</v>
      </c>
      <c r="O1325" s="7">
        <f t="shared" si="83"/>
        <v>-0.69314718055994529</v>
      </c>
    </row>
    <row r="1326" spans="12:15" x14ac:dyDescent="0.15">
      <c r="L1326" s="7">
        <f t="shared" si="80"/>
        <v>0</v>
      </c>
      <c r="M1326" s="7">
        <f t="shared" si="81"/>
        <v>1</v>
      </c>
      <c r="N1326" s="7">
        <f t="shared" si="82"/>
        <v>0.5</v>
      </c>
      <c r="O1326" s="7">
        <f t="shared" si="83"/>
        <v>-0.69314718055994529</v>
      </c>
    </row>
    <row r="1327" spans="12:15" x14ac:dyDescent="0.15">
      <c r="L1327" s="7">
        <f t="shared" si="80"/>
        <v>0</v>
      </c>
      <c r="M1327" s="7">
        <f t="shared" si="81"/>
        <v>1</v>
      </c>
      <c r="N1327" s="7">
        <f t="shared" si="82"/>
        <v>0.5</v>
      </c>
      <c r="O1327" s="7">
        <f t="shared" si="83"/>
        <v>-0.69314718055994529</v>
      </c>
    </row>
    <row r="1328" spans="12:15" x14ac:dyDescent="0.15">
      <c r="L1328" s="7">
        <f t="shared" si="80"/>
        <v>0</v>
      </c>
      <c r="M1328" s="7">
        <f t="shared" si="81"/>
        <v>1</v>
      </c>
      <c r="N1328" s="7">
        <f t="shared" si="82"/>
        <v>0.5</v>
      </c>
      <c r="O1328" s="7">
        <f t="shared" si="83"/>
        <v>-0.69314718055994529</v>
      </c>
    </row>
    <row r="1329" spans="12:15" x14ac:dyDescent="0.15">
      <c r="L1329" s="7">
        <f t="shared" si="80"/>
        <v>0</v>
      </c>
      <c r="M1329" s="7">
        <f t="shared" si="81"/>
        <v>1</v>
      </c>
      <c r="N1329" s="7">
        <f t="shared" si="82"/>
        <v>0.5</v>
      </c>
      <c r="O1329" s="7">
        <f t="shared" si="83"/>
        <v>-0.69314718055994529</v>
      </c>
    </row>
    <row r="1330" spans="12:15" x14ac:dyDescent="0.15">
      <c r="L1330" s="7">
        <f t="shared" si="80"/>
        <v>0</v>
      </c>
      <c r="M1330" s="7">
        <f t="shared" si="81"/>
        <v>1</v>
      </c>
      <c r="N1330" s="7">
        <f t="shared" si="82"/>
        <v>0.5</v>
      </c>
      <c r="O1330" s="7">
        <f t="shared" si="83"/>
        <v>-0.69314718055994529</v>
      </c>
    </row>
    <row r="1331" spans="12:15" x14ac:dyDescent="0.15">
      <c r="L1331" s="7">
        <f t="shared" si="80"/>
        <v>0</v>
      </c>
      <c r="M1331" s="7">
        <f t="shared" si="81"/>
        <v>1</v>
      </c>
      <c r="N1331" s="7">
        <f t="shared" si="82"/>
        <v>0.5</v>
      </c>
      <c r="O1331" s="7">
        <f t="shared" si="83"/>
        <v>-0.69314718055994529</v>
      </c>
    </row>
    <row r="1332" spans="12:15" x14ac:dyDescent="0.15">
      <c r="L1332" s="7">
        <f t="shared" si="80"/>
        <v>0</v>
      </c>
      <c r="M1332" s="7">
        <f t="shared" si="81"/>
        <v>1</v>
      </c>
      <c r="N1332" s="7">
        <f t="shared" si="82"/>
        <v>0.5</v>
      </c>
      <c r="O1332" s="7">
        <f t="shared" si="83"/>
        <v>-0.69314718055994529</v>
      </c>
    </row>
    <row r="1333" spans="12:15" x14ac:dyDescent="0.15">
      <c r="L1333" s="7">
        <f t="shared" si="80"/>
        <v>0</v>
      </c>
      <c r="M1333" s="7">
        <f t="shared" si="81"/>
        <v>1</v>
      </c>
      <c r="N1333" s="7">
        <f t="shared" si="82"/>
        <v>0.5</v>
      </c>
      <c r="O1333" s="7">
        <f t="shared" si="83"/>
        <v>-0.69314718055994529</v>
      </c>
    </row>
    <row r="1334" spans="12:15" x14ac:dyDescent="0.15">
      <c r="L1334" s="7">
        <f t="shared" si="80"/>
        <v>0</v>
      </c>
      <c r="M1334" s="7">
        <f t="shared" si="81"/>
        <v>1</v>
      </c>
      <c r="N1334" s="7">
        <f t="shared" si="82"/>
        <v>0.5</v>
      </c>
      <c r="O1334" s="7">
        <f t="shared" si="83"/>
        <v>-0.69314718055994529</v>
      </c>
    </row>
    <row r="1335" spans="12:15" x14ac:dyDescent="0.15">
      <c r="L1335" s="7">
        <f t="shared" si="80"/>
        <v>0</v>
      </c>
      <c r="M1335" s="7">
        <f t="shared" si="81"/>
        <v>1</v>
      </c>
      <c r="N1335" s="7">
        <f t="shared" si="82"/>
        <v>0.5</v>
      </c>
      <c r="O1335" s="7">
        <f t="shared" si="83"/>
        <v>-0.69314718055994529</v>
      </c>
    </row>
    <row r="1336" spans="12:15" x14ac:dyDescent="0.15">
      <c r="L1336" s="7">
        <f t="shared" si="80"/>
        <v>0</v>
      </c>
      <c r="M1336" s="7">
        <f t="shared" si="81"/>
        <v>1</v>
      </c>
      <c r="N1336" s="7">
        <f t="shared" si="82"/>
        <v>0.5</v>
      </c>
      <c r="O1336" s="7">
        <f t="shared" si="83"/>
        <v>-0.69314718055994529</v>
      </c>
    </row>
    <row r="1337" spans="12:15" x14ac:dyDescent="0.15">
      <c r="L1337" s="7">
        <f t="shared" si="80"/>
        <v>0</v>
      </c>
      <c r="M1337" s="7">
        <f t="shared" si="81"/>
        <v>1</v>
      </c>
      <c r="N1337" s="7">
        <f t="shared" si="82"/>
        <v>0.5</v>
      </c>
      <c r="O1337" s="7">
        <f t="shared" si="83"/>
        <v>-0.69314718055994529</v>
      </c>
    </row>
    <row r="1338" spans="12:15" x14ac:dyDescent="0.15">
      <c r="L1338" s="7">
        <f t="shared" si="80"/>
        <v>0</v>
      </c>
      <c r="M1338" s="7">
        <f t="shared" si="81"/>
        <v>1</v>
      </c>
      <c r="N1338" s="7">
        <f t="shared" si="82"/>
        <v>0.5</v>
      </c>
      <c r="O1338" s="7">
        <f t="shared" si="83"/>
        <v>-0.69314718055994529</v>
      </c>
    </row>
    <row r="1339" spans="12:15" x14ac:dyDescent="0.15">
      <c r="L1339" s="7">
        <f t="shared" si="80"/>
        <v>0</v>
      </c>
      <c r="M1339" s="7">
        <f t="shared" si="81"/>
        <v>1</v>
      </c>
      <c r="N1339" s="7">
        <f t="shared" si="82"/>
        <v>0.5</v>
      </c>
      <c r="O1339" s="7">
        <f t="shared" si="83"/>
        <v>-0.69314718055994529</v>
      </c>
    </row>
    <row r="1340" spans="12:15" x14ac:dyDescent="0.15">
      <c r="L1340" s="7">
        <f t="shared" si="80"/>
        <v>0</v>
      </c>
      <c r="M1340" s="7">
        <f t="shared" si="81"/>
        <v>1</v>
      </c>
      <c r="N1340" s="7">
        <f t="shared" si="82"/>
        <v>0.5</v>
      </c>
      <c r="O1340" s="7">
        <f t="shared" si="83"/>
        <v>-0.69314718055994529</v>
      </c>
    </row>
    <row r="1341" spans="12:15" x14ac:dyDescent="0.15">
      <c r="L1341" s="7">
        <f t="shared" si="80"/>
        <v>0</v>
      </c>
      <c r="M1341" s="7">
        <f t="shared" si="81"/>
        <v>1</v>
      </c>
      <c r="N1341" s="7">
        <f t="shared" si="82"/>
        <v>0.5</v>
      </c>
      <c r="O1341" s="7">
        <f t="shared" si="83"/>
        <v>-0.69314718055994529</v>
      </c>
    </row>
    <row r="1342" spans="12:15" x14ac:dyDescent="0.15">
      <c r="L1342" s="7">
        <f t="shared" si="80"/>
        <v>0</v>
      </c>
      <c r="M1342" s="7">
        <f t="shared" si="81"/>
        <v>1</v>
      </c>
      <c r="N1342" s="7">
        <f t="shared" si="82"/>
        <v>0.5</v>
      </c>
      <c r="O1342" s="7">
        <f t="shared" si="83"/>
        <v>-0.69314718055994529</v>
      </c>
    </row>
    <row r="1343" spans="12:15" x14ac:dyDescent="0.15">
      <c r="L1343" s="7">
        <f t="shared" si="80"/>
        <v>0</v>
      </c>
      <c r="M1343" s="7">
        <f t="shared" si="81"/>
        <v>1</v>
      </c>
      <c r="N1343" s="7">
        <f t="shared" si="82"/>
        <v>0.5</v>
      </c>
      <c r="O1343" s="7">
        <f t="shared" si="83"/>
        <v>-0.69314718055994529</v>
      </c>
    </row>
    <row r="1344" spans="12:15" x14ac:dyDescent="0.15">
      <c r="L1344" s="7">
        <f t="shared" si="80"/>
        <v>0</v>
      </c>
      <c r="M1344" s="7">
        <f t="shared" si="81"/>
        <v>1</v>
      </c>
      <c r="N1344" s="7">
        <f t="shared" si="82"/>
        <v>0.5</v>
      </c>
      <c r="O1344" s="7">
        <f t="shared" si="83"/>
        <v>-0.69314718055994529</v>
      </c>
    </row>
    <row r="1345" spans="12:15" x14ac:dyDescent="0.15">
      <c r="L1345" s="7">
        <f t="shared" si="80"/>
        <v>0</v>
      </c>
      <c r="M1345" s="7">
        <f t="shared" si="81"/>
        <v>1</v>
      </c>
      <c r="N1345" s="7">
        <f t="shared" si="82"/>
        <v>0.5</v>
      </c>
      <c r="O1345" s="7">
        <f t="shared" si="83"/>
        <v>-0.69314718055994529</v>
      </c>
    </row>
    <row r="1346" spans="12:15" x14ac:dyDescent="0.15">
      <c r="L1346" s="7">
        <f t="shared" si="80"/>
        <v>0</v>
      </c>
      <c r="M1346" s="7">
        <f t="shared" si="81"/>
        <v>1</v>
      </c>
      <c r="N1346" s="7">
        <f t="shared" si="82"/>
        <v>0.5</v>
      </c>
      <c r="O1346" s="7">
        <f t="shared" si="83"/>
        <v>-0.69314718055994529</v>
      </c>
    </row>
    <row r="1347" spans="12:15" x14ac:dyDescent="0.15">
      <c r="L1347" s="7">
        <f t="shared" ref="L1347:L1410" si="84">$Q$1 + $Q$2*B1347+$Q$3*C1347+ $Q$4*D1347+$Q$5*E1347+$Q$6*F1347+$Q$7*G1347+H1347*$Q$8+I1347*$Q$9+J1347*$Q$10+K1347*$Q$11</f>
        <v>0</v>
      </c>
      <c r="M1347" s="7">
        <f t="shared" ref="M1347:M1410" si="85">EXP(L1347)</f>
        <v>1</v>
      </c>
      <c r="N1347" s="7">
        <f t="shared" ref="N1347:N1410" si="86">1/(1+M1347)</f>
        <v>0.5</v>
      </c>
      <c r="O1347" s="7">
        <f t="shared" ref="O1347:O1410" si="87">A1347*LN(N1347)+(1-A1347)*LN(1-N1347)</f>
        <v>-0.69314718055994529</v>
      </c>
    </row>
    <row r="1348" spans="12:15" x14ac:dyDescent="0.15">
      <c r="L1348" s="7">
        <f t="shared" si="84"/>
        <v>0</v>
      </c>
      <c r="M1348" s="7">
        <f t="shared" si="85"/>
        <v>1</v>
      </c>
      <c r="N1348" s="7">
        <f t="shared" si="86"/>
        <v>0.5</v>
      </c>
      <c r="O1348" s="7">
        <f t="shared" si="87"/>
        <v>-0.69314718055994529</v>
      </c>
    </row>
    <row r="1349" spans="12:15" x14ac:dyDescent="0.15">
      <c r="L1349" s="7">
        <f t="shared" si="84"/>
        <v>0</v>
      </c>
      <c r="M1349" s="7">
        <f t="shared" si="85"/>
        <v>1</v>
      </c>
      <c r="N1349" s="7">
        <f t="shared" si="86"/>
        <v>0.5</v>
      </c>
      <c r="O1349" s="7">
        <f t="shared" si="87"/>
        <v>-0.69314718055994529</v>
      </c>
    </row>
    <row r="1350" spans="12:15" x14ac:dyDescent="0.15">
      <c r="L1350" s="7">
        <f t="shared" si="84"/>
        <v>0</v>
      </c>
      <c r="M1350" s="7">
        <f t="shared" si="85"/>
        <v>1</v>
      </c>
      <c r="N1350" s="7">
        <f t="shared" si="86"/>
        <v>0.5</v>
      </c>
      <c r="O1350" s="7">
        <f t="shared" si="87"/>
        <v>-0.69314718055994529</v>
      </c>
    </row>
    <row r="1351" spans="12:15" x14ac:dyDescent="0.15">
      <c r="L1351" s="7">
        <f t="shared" si="84"/>
        <v>0</v>
      </c>
      <c r="M1351" s="7">
        <f t="shared" si="85"/>
        <v>1</v>
      </c>
      <c r="N1351" s="7">
        <f t="shared" si="86"/>
        <v>0.5</v>
      </c>
      <c r="O1351" s="7">
        <f t="shared" si="87"/>
        <v>-0.69314718055994529</v>
      </c>
    </row>
    <row r="1352" spans="12:15" x14ac:dyDescent="0.15">
      <c r="L1352" s="7">
        <f t="shared" si="84"/>
        <v>0</v>
      </c>
      <c r="M1352" s="7">
        <f t="shared" si="85"/>
        <v>1</v>
      </c>
      <c r="N1352" s="7">
        <f t="shared" si="86"/>
        <v>0.5</v>
      </c>
      <c r="O1352" s="7">
        <f t="shared" si="87"/>
        <v>-0.69314718055994529</v>
      </c>
    </row>
    <row r="1353" spans="12:15" x14ac:dyDescent="0.15">
      <c r="L1353" s="7">
        <f t="shared" si="84"/>
        <v>0</v>
      </c>
      <c r="M1353" s="7">
        <f t="shared" si="85"/>
        <v>1</v>
      </c>
      <c r="N1353" s="7">
        <f t="shared" si="86"/>
        <v>0.5</v>
      </c>
      <c r="O1353" s="7">
        <f t="shared" si="87"/>
        <v>-0.69314718055994529</v>
      </c>
    </row>
    <row r="1354" spans="12:15" x14ac:dyDescent="0.15">
      <c r="L1354" s="7">
        <f t="shared" si="84"/>
        <v>0</v>
      </c>
      <c r="M1354" s="7">
        <f t="shared" si="85"/>
        <v>1</v>
      </c>
      <c r="N1354" s="7">
        <f t="shared" si="86"/>
        <v>0.5</v>
      </c>
      <c r="O1354" s="7">
        <f t="shared" si="87"/>
        <v>-0.69314718055994529</v>
      </c>
    </row>
    <row r="1355" spans="12:15" x14ac:dyDescent="0.15">
      <c r="L1355" s="7">
        <f t="shared" si="84"/>
        <v>0</v>
      </c>
      <c r="M1355" s="7">
        <f t="shared" si="85"/>
        <v>1</v>
      </c>
      <c r="N1355" s="7">
        <f t="shared" si="86"/>
        <v>0.5</v>
      </c>
      <c r="O1355" s="7">
        <f t="shared" si="87"/>
        <v>-0.69314718055994529</v>
      </c>
    </row>
    <row r="1356" spans="12:15" x14ac:dyDescent="0.15">
      <c r="L1356" s="7">
        <f t="shared" si="84"/>
        <v>0</v>
      </c>
      <c r="M1356" s="7">
        <f t="shared" si="85"/>
        <v>1</v>
      </c>
      <c r="N1356" s="7">
        <f t="shared" si="86"/>
        <v>0.5</v>
      </c>
      <c r="O1356" s="7">
        <f t="shared" si="87"/>
        <v>-0.69314718055994529</v>
      </c>
    </row>
    <row r="1357" spans="12:15" x14ac:dyDescent="0.15">
      <c r="L1357" s="7">
        <f t="shared" si="84"/>
        <v>0</v>
      </c>
      <c r="M1357" s="7">
        <f t="shared" si="85"/>
        <v>1</v>
      </c>
      <c r="N1357" s="7">
        <f t="shared" si="86"/>
        <v>0.5</v>
      </c>
      <c r="O1357" s="7">
        <f t="shared" si="87"/>
        <v>-0.69314718055994529</v>
      </c>
    </row>
    <row r="1358" spans="12:15" x14ac:dyDescent="0.15">
      <c r="L1358" s="7">
        <f t="shared" si="84"/>
        <v>0</v>
      </c>
      <c r="M1358" s="7">
        <f t="shared" si="85"/>
        <v>1</v>
      </c>
      <c r="N1358" s="7">
        <f t="shared" si="86"/>
        <v>0.5</v>
      </c>
      <c r="O1358" s="7">
        <f t="shared" si="87"/>
        <v>-0.69314718055994529</v>
      </c>
    </row>
    <row r="1359" spans="12:15" x14ac:dyDescent="0.15">
      <c r="L1359" s="7">
        <f t="shared" si="84"/>
        <v>0</v>
      </c>
      <c r="M1359" s="7">
        <f t="shared" si="85"/>
        <v>1</v>
      </c>
      <c r="N1359" s="7">
        <f t="shared" si="86"/>
        <v>0.5</v>
      </c>
      <c r="O1359" s="7">
        <f t="shared" si="87"/>
        <v>-0.69314718055994529</v>
      </c>
    </row>
    <row r="1360" spans="12:15" x14ac:dyDescent="0.15">
      <c r="L1360" s="7">
        <f t="shared" si="84"/>
        <v>0</v>
      </c>
      <c r="M1360" s="7">
        <f t="shared" si="85"/>
        <v>1</v>
      </c>
      <c r="N1360" s="7">
        <f t="shared" si="86"/>
        <v>0.5</v>
      </c>
      <c r="O1360" s="7">
        <f t="shared" si="87"/>
        <v>-0.69314718055994529</v>
      </c>
    </row>
    <row r="1361" spans="12:15" x14ac:dyDescent="0.15">
      <c r="L1361" s="7">
        <f t="shared" si="84"/>
        <v>0</v>
      </c>
      <c r="M1361" s="7">
        <f t="shared" si="85"/>
        <v>1</v>
      </c>
      <c r="N1361" s="7">
        <f t="shared" si="86"/>
        <v>0.5</v>
      </c>
      <c r="O1361" s="7">
        <f t="shared" si="87"/>
        <v>-0.69314718055994529</v>
      </c>
    </row>
    <row r="1362" spans="12:15" x14ac:dyDescent="0.15">
      <c r="L1362" s="7">
        <f t="shared" si="84"/>
        <v>0</v>
      </c>
      <c r="M1362" s="7">
        <f t="shared" si="85"/>
        <v>1</v>
      </c>
      <c r="N1362" s="7">
        <f t="shared" si="86"/>
        <v>0.5</v>
      </c>
      <c r="O1362" s="7">
        <f t="shared" si="87"/>
        <v>-0.69314718055994529</v>
      </c>
    </row>
    <row r="1363" spans="12:15" x14ac:dyDescent="0.15">
      <c r="L1363" s="7">
        <f t="shared" si="84"/>
        <v>0</v>
      </c>
      <c r="M1363" s="7">
        <f t="shared" si="85"/>
        <v>1</v>
      </c>
      <c r="N1363" s="7">
        <f t="shared" si="86"/>
        <v>0.5</v>
      </c>
      <c r="O1363" s="7">
        <f t="shared" si="87"/>
        <v>-0.69314718055994529</v>
      </c>
    </row>
    <row r="1364" spans="12:15" x14ac:dyDescent="0.15">
      <c r="L1364" s="7">
        <f t="shared" si="84"/>
        <v>0</v>
      </c>
      <c r="M1364" s="7">
        <f t="shared" si="85"/>
        <v>1</v>
      </c>
      <c r="N1364" s="7">
        <f t="shared" si="86"/>
        <v>0.5</v>
      </c>
      <c r="O1364" s="7">
        <f t="shared" si="87"/>
        <v>-0.69314718055994529</v>
      </c>
    </row>
    <row r="1365" spans="12:15" x14ac:dyDescent="0.15">
      <c r="L1365" s="7">
        <f t="shared" si="84"/>
        <v>0</v>
      </c>
      <c r="M1365" s="7">
        <f t="shared" si="85"/>
        <v>1</v>
      </c>
      <c r="N1365" s="7">
        <f t="shared" si="86"/>
        <v>0.5</v>
      </c>
      <c r="O1365" s="7">
        <f t="shared" si="87"/>
        <v>-0.69314718055994529</v>
      </c>
    </row>
    <row r="1366" spans="12:15" x14ac:dyDescent="0.15">
      <c r="L1366" s="7">
        <f t="shared" si="84"/>
        <v>0</v>
      </c>
      <c r="M1366" s="7">
        <f t="shared" si="85"/>
        <v>1</v>
      </c>
      <c r="N1366" s="7">
        <f t="shared" si="86"/>
        <v>0.5</v>
      </c>
      <c r="O1366" s="7">
        <f t="shared" si="87"/>
        <v>-0.69314718055994529</v>
      </c>
    </row>
    <row r="1367" spans="12:15" x14ac:dyDescent="0.15">
      <c r="L1367" s="7">
        <f t="shared" si="84"/>
        <v>0</v>
      </c>
      <c r="M1367" s="7">
        <f t="shared" si="85"/>
        <v>1</v>
      </c>
      <c r="N1367" s="7">
        <f t="shared" si="86"/>
        <v>0.5</v>
      </c>
      <c r="O1367" s="7">
        <f t="shared" si="87"/>
        <v>-0.69314718055994529</v>
      </c>
    </row>
    <row r="1368" spans="12:15" x14ac:dyDescent="0.15">
      <c r="L1368" s="7">
        <f t="shared" si="84"/>
        <v>0</v>
      </c>
      <c r="M1368" s="7">
        <f t="shared" si="85"/>
        <v>1</v>
      </c>
      <c r="N1368" s="7">
        <f t="shared" si="86"/>
        <v>0.5</v>
      </c>
      <c r="O1368" s="7">
        <f t="shared" si="87"/>
        <v>-0.69314718055994529</v>
      </c>
    </row>
    <row r="1369" spans="12:15" x14ac:dyDescent="0.15">
      <c r="L1369" s="7">
        <f t="shared" si="84"/>
        <v>0</v>
      </c>
      <c r="M1369" s="7">
        <f t="shared" si="85"/>
        <v>1</v>
      </c>
      <c r="N1369" s="7">
        <f t="shared" si="86"/>
        <v>0.5</v>
      </c>
      <c r="O1369" s="7">
        <f t="shared" si="87"/>
        <v>-0.69314718055994529</v>
      </c>
    </row>
    <row r="1370" spans="12:15" x14ac:dyDescent="0.15">
      <c r="L1370" s="7">
        <f t="shared" si="84"/>
        <v>0</v>
      </c>
      <c r="M1370" s="7">
        <f t="shared" si="85"/>
        <v>1</v>
      </c>
      <c r="N1370" s="7">
        <f t="shared" si="86"/>
        <v>0.5</v>
      </c>
      <c r="O1370" s="7">
        <f t="shared" si="87"/>
        <v>-0.69314718055994529</v>
      </c>
    </row>
    <row r="1371" spans="12:15" x14ac:dyDescent="0.15">
      <c r="L1371" s="7">
        <f t="shared" si="84"/>
        <v>0</v>
      </c>
      <c r="M1371" s="7">
        <f t="shared" si="85"/>
        <v>1</v>
      </c>
      <c r="N1371" s="7">
        <f t="shared" si="86"/>
        <v>0.5</v>
      </c>
      <c r="O1371" s="7">
        <f t="shared" si="87"/>
        <v>-0.69314718055994529</v>
      </c>
    </row>
    <row r="1372" spans="12:15" x14ac:dyDescent="0.15">
      <c r="L1372" s="7">
        <f t="shared" si="84"/>
        <v>0</v>
      </c>
      <c r="M1372" s="7">
        <f t="shared" si="85"/>
        <v>1</v>
      </c>
      <c r="N1372" s="7">
        <f t="shared" si="86"/>
        <v>0.5</v>
      </c>
      <c r="O1372" s="7">
        <f t="shared" si="87"/>
        <v>-0.69314718055994529</v>
      </c>
    </row>
    <row r="1373" spans="12:15" x14ac:dyDescent="0.15">
      <c r="L1373" s="7">
        <f t="shared" si="84"/>
        <v>0</v>
      </c>
      <c r="M1373" s="7">
        <f t="shared" si="85"/>
        <v>1</v>
      </c>
      <c r="N1373" s="7">
        <f t="shared" si="86"/>
        <v>0.5</v>
      </c>
      <c r="O1373" s="7">
        <f t="shared" si="87"/>
        <v>-0.69314718055994529</v>
      </c>
    </row>
    <row r="1374" spans="12:15" x14ac:dyDescent="0.15">
      <c r="L1374" s="7">
        <f t="shared" si="84"/>
        <v>0</v>
      </c>
      <c r="M1374" s="7">
        <f t="shared" si="85"/>
        <v>1</v>
      </c>
      <c r="N1374" s="7">
        <f t="shared" si="86"/>
        <v>0.5</v>
      </c>
      <c r="O1374" s="7">
        <f t="shared" si="87"/>
        <v>-0.69314718055994529</v>
      </c>
    </row>
    <row r="1375" spans="12:15" x14ac:dyDescent="0.15">
      <c r="L1375" s="7">
        <f t="shared" si="84"/>
        <v>0</v>
      </c>
      <c r="M1375" s="7">
        <f t="shared" si="85"/>
        <v>1</v>
      </c>
      <c r="N1375" s="7">
        <f t="shared" si="86"/>
        <v>0.5</v>
      </c>
      <c r="O1375" s="7">
        <f t="shared" si="87"/>
        <v>-0.69314718055994529</v>
      </c>
    </row>
    <row r="1376" spans="12:15" x14ac:dyDescent="0.15">
      <c r="L1376" s="7">
        <f t="shared" si="84"/>
        <v>0</v>
      </c>
      <c r="M1376" s="7">
        <f t="shared" si="85"/>
        <v>1</v>
      </c>
      <c r="N1376" s="7">
        <f t="shared" si="86"/>
        <v>0.5</v>
      </c>
      <c r="O1376" s="7">
        <f t="shared" si="87"/>
        <v>-0.69314718055994529</v>
      </c>
    </row>
    <row r="1377" spans="12:15" x14ac:dyDescent="0.15">
      <c r="L1377" s="7">
        <f t="shared" si="84"/>
        <v>0</v>
      </c>
      <c r="M1377" s="7">
        <f t="shared" si="85"/>
        <v>1</v>
      </c>
      <c r="N1377" s="7">
        <f t="shared" si="86"/>
        <v>0.5</v>
      </c>
      <c r="O1377" s="7">
        <f t="shared" si="87"/>
        <v>-0.69314718055994529</v>
      </c>
    </row>
    <row r="1378" spans="12:15" x14ac:dyDescent="0.15">
      <c r="L1378" s="7">
        <f t="shared" si="84"/>
        <v>0</v>
      </c>
      <c r="M1378" s="7">
        <f t="shared" si="85"/>
        <v>1</v>
      </c>
      <c r="N1378" s="7">
        <f t="shared" si="86"/>
        <v>0.5</v>
      </c>
      <c r="O1378" s="7">
        <f t="shared" si="87"/>
        <v>-0.69314718055994529</v>
      </c>
    </row>
    <row r="1379" spans="12:15" x14ac:dyDescent="0.15">
      <c r="L1379" s="7">
        <f t="shared" si="84"/>
        <v>0</v>
      </c>
      <c r="M1379" s="7">
        <f t="shared" si="85"/>
        <v>1</v>
      </c>
      <c r="N1379" s="7">
        <f t="shared" si="86"/>
        <v>0.5</v>
      </c>
      <c r="O1379" s="7">
        <f t="shared" si="87"/>
        <v>-0.69314718055994529</v>
      </c>
    </row>
    <row r="1380" spans="12:15" x14ac:dyDescent="0.15">
      <c r="L1380" s="7">
        <f t="shared" si="84"/>
        <v>0</v>
      </c>
      <c r="M1380" s="7">
        <f t="shared" si="85"/>
        <v>1</v>
      </c>
      <c r="N1380" s="7">
        <f t="shared" si="86"/>
        <v>0.5</v>
      </c>
      <c r="O1380" s="7">
        <f t="shared" si="87"/>
        <v>-0.69314718055994529</v>
      </c>
    </row>
    <row r="1381" spans="12:15" x14ac:dyDescent="0.15">
      <c r="L1381" s="7">
        <f t="shared" si="84"/>
        <v>0</v>
      </c>
      <c r="M1381" s="7">
        <f t="shared" si="85"/>
        <v>1</v>
      </c>
      <c r="N1381" s="7">
        <f t="shared" si="86"/>
        <v>0.5</v>
      </c>
      <c r="O1381" s="7">
        <f t="shared" si="87"/>
        <v>-0.69314718055994529</v>
      </c>
    </row>
    <row r="1382" spans="12:15" x14ac:dyDescent="0.15">
      <c r="L1382" s="7">
        <f t="shared" si="84"/>
        <v>0</v>
      </c>
      <c r="M1382" s="7">
        <f t="shared" si="85"/>
        <v>1</v>
      </c>
      <c r="N1382" s="7">
        <f t="shared" si="86"/>
        <v>0.5</v>
      </c>
      <c r="O1382" s="7">
        <f t="shared" si="87"/>
        <v>-0.69314718055994529</v>
      </c>
    </row>
    <row r="1383" spans="12:15" x14ac:dyDescent="0.15">
      <c r="L1383" s="7">
        <f t="shared" si="84"/>
        <v>0</v>
      </c>
      <c r="M1383" s="7">
        <f t="shared" si="85"/>
        <v>1</v>
      </c>
      <c r="N1383" s="7">
        <f t="shared" si="86"/>
        <v>0.5</v>
      </c>
      <c r="O1383" s="7">
        <f t="shared" si="87"/>
        <v>-0.69314718055994529</v>
      </c>
    </row>
    <row r="1384" spans="12:15" x14ac:dyDescent="0.15">
      <c r="L1384" s="7">
        <f t="shared" si="84"/>
        <v>0</v>
      </c>
      <c r="M1384" s="7">
        <f t="shared" si="85"/>
        <v>1</v>
      </c>
      <c r="N1384" s="7">
        <f t="shared" si="86"/>
        <v>0.5</v>
      </c>
      <c r="O1384" s="7">
        <f t="shared" si="87"/>
        <v>-0.69314718055994529</v>
      </c>
    </row>
    <row r="1385" spans="12:15" x14ac:dyDescent="0.15">
      <c r="L1385" s="7">
        <f t="shared" si="84"/>
        <v>0</v>
      </c>
      <c r="M1385" s="7">
        <f t="shared" si="85"/>
        <v>1</v>
      </c>
      <c r="N1385" s="7">
        <f t="shared" si="86"/>
        <v>0.5</v>
      </c>
      <c r="O1385" s="7">
        <f t="shared" si="87"/>
        <v>-0.69314718055994529</v>
      </c>
    </row>
    <row r="1386" spans="12:15" x14ac:dyDescent="0.15">
      <c r="L1386" s="7">
        <f t="shared" si="84"/>
        <v>0</v>
      </c>
      <c r="M1386" s="7">
        <f t="shared" si="85"/>
        <v>1</v>
      </c>
      <c r="N1386" s="7">
        <f t="shared" si="86"/>
        <v>0.5</v>
      </c>
      <c r="O1386" s="7">
        <f t="shared" si="87"/>
        <v>-0.69314718055994529</v>
      </c>
    </row>
    <row r="1387" spans="12:15" x14ac:dyDescent="0.15">
      <c r="L1387" s="7">
        <f t="shared" si="84"/>
        <v>0</v>
      </c>
      <c r="M1387" s="7">
        <f t="shared" si="85"/>
        <v>1</v>
      </c>
      <c r="N1387" s="7">
        <f t="shared" si="86"/>
        <v>0.5</v>
      </c>
      <c r="O1387" s="7">
        <f t="shared" si="87"/>
        <v>-0.69314718055994529</v>
      </c>
    </row>
    <row r="1388" spans="12:15" x14ac:dyDescent="0.15">
      <c r="L1388" s="7">
        <f t="shared" si="84"/>
        <v>0</v>
      </c>
      <c r="M1388" s="7">
        <f t="shared" si="85"/>
        <v>1</v>
      </c>
      <c r="N1388" s="7">
        <f t="shared" si="86"/>
        <v>0.5</v>
      </c>
      <c r="O1388" s="7">
        <f t="shared" si="87"/>
        <v>-0.69314718055994529</v>
      </c>
    </row>
    <row r="1389" spans="12:15" x14ac:dyDescent="0.15">
      <c r="L1389" s="7">
        <f t="shared" si="84"/>
        <v>0</v>
      </c>
      <c r="M1389" s="7">
        <f t="shared" si="85"/>
        <v>1</v>
      </c>
      <c r="N1389" s="7">
        <f t="shared" si="86"/>
        <v>0.5</v>
      </c>
      <c r="O1389" s="7">
        <f t="shared" si="87"/>
        <v>-0.69314718055994529</v>
      </c>
    </row>
    <row r="1390" spans="12:15" x14ac:dyDescent="0.15">
      <c r="L1390" s="7">
        <f t="shared" si="84"/>
        <v>0</v>
      </c>
      <c r="M1390" s="7">
        <f t="shared" si="85"/>
        <v>1</v>
      </c>
      <c r="N1390" s="7">
        <f t="shared" si="86"/>
        <v>0.5</v>
      </c>
      <c r="O1390" s="7">
        <f t="shared" si="87"/>
        <v>-0.69314718055994529</v>
      </c>
    </row>
    <row r="1391" spans="12:15" x14ac:dyDescent="0.15">
      <c r="L1391" s="7">
        <f t="shared" si="84"/>
        <v>0</v>
      </c>
      <c r="M1391" s="7">
        <f t="shared" si="85"/>
        <v>1</v>
      </c>
      <c r="N1391" s="7">
        <f t="shared" si="86"/>
        <v>0.5</v>
      </c>
      <c r="O1391" s="7">
        <f t="shared" si="87"/>
        <v>-0.69314718055994529</v>
      </c>
    </row>
    <row r="1392" spans="12:15" x14ac:dyDescent="0.15">
      <c r="L1392" s="7">
        <f t="shared" si="84"/>
        <v>0</v>
      </c>
      <c r="M1392" s="7">
        <f t="shared" si="85"/>
        <v>1</v>
      </c>
      <c r="N1392" s="7">
        <f t="shared" si="86"/>
        <v>0.5</v>
      </c>
      <c r="O1392" s="7">
        <f t="shared" si="87"/>
        <v>-0.69314718055994529</v>
      </c>
    </row>
    <row r="1393" spans="12:15" x14ac:dyDescent="0.15">
      <c r="L1393" s="7">
        <f t="shared" si="84"/>
        <v>0</v>
      </c>
      <c r="M1393" s="7">
        <f t="shared" si="85"/>
        <v>1</v>
      </c>
      <c r="N1393" s="7">
        <f t="shared" si="86"/>
        <v>0.5</v>
      </c>
      <c r="O1393" s="7">
        <f t="shared" si="87"/>
        <v>-0.69314718055994529</v>
      </c>
    </row>
    <row r="1394" spans="12:15" x14ac:dyDescent="0.15">
      <c r="L1394" s="7">
        <f t="shared" si="84"/>
        <v>0</v>
      </c>
      <c r="M1394" s="7">
        <f t="shared" si="85"/>
        <v>1</v>
      </c>
      <c r="N1394" s="7">
        <f t="shared" si="86"/>
        <v>0.5</v>
      </c>
      <c r="O1394" s="7">
        <f t="shared" si="87"/>
        <v>-0.69314718055994529</v>
      </c>
    </row>
    <row r="1395" spans="12:15" x14ac:dyDescent="0.15">
      <c r="L1395" s="7">
        <f t="shared" si="84"/>
        <v>0</v>
      </c>
      <c r="M1395" s="7">
        <f t="shared" si="85"/>
        <v>1</v>
      </c>
      <c r="N1395" s="7">
        <f t="shared" si="86"/>
        <v>0.5</v>
      </c>
      <c r="O1395" s="7">
        <f t="shared" si="87"/>
        <v>-0.69314718055994529</v>
      </c>
    </row>
    <row r="1396" spans="12:15" x14ac:dyDescent="0.15">
      <c r="L1396" s="7">
        <f t="shared" si="84"/>
        <v>0</v>
      </c>
      <c r="M1396" s="7">
        <f t="shared" si="85"/>
        <v>1</v>
      </c>
      <c r="N1396" s="7">
        <f t="shared" si="86"/>
        <v>0.5</v>
      </c>
      <c r="O1396" s="7">
        <f t="shared" si="87"/>
        <v>-0.69314718055994529</v>
      </c>
    </row>
    <row r="1397" spans="12:15" x14ac:dyDescent="0.15">
      <c r="L1397" s="7">
        <f t="shared" si="84"/>
        <v>0</v>
      </c>
      <c r="M1397" s="7">
        <f t="shared" si="85"/>
        <v>1</v>
      </c>
      <c r="N1397" s="7">
        <f t="shared" si="86"/>
        <v>0.5</v>
      </c>
      <c r="O1397" s="7">
        <f t="shared" si="87"/>
        <v>-0.69314718055994529</v>
      </c>
    </row>
    <row r="1398" spans="12:15" x14ac:dyDescent="0.15">
      <c r="L1398" s="7">
        <f t="shared" si="84"/>
        <v>0</v>
      </c>
      <c r="M1398" s="7">
        <f t="shared" si="85"/>
        <v>1</v>
      </c>
      <c r="N1398" s="7">
        <f t="shared" si="86"/>
        <v>0.5</v>
      </c>
      <c r="O1398" s="7">
        <f t="shared" si="87"/>
        <v>-0.69314718055994529</v>
      </c>
    </row>
    <row r="1399" spans="12:15" x14ac:dyDescent="0.15">
      <c r="L1399" s="7">
        <f t="shared" si="84"/>
        <v>0</v>
      </c>
      <c r="M1399" s="7">
        <f t="shared" si="85"/>
        <v>1</v>
      </c>
      <c r="N1399" s="7">
        <f t="shared" si="86"/>
        <v>0.5</v>
      </c>
      <c r="O1399" s="7">
        <f t="shared" si="87"/>
        <v>-0.69314718055994529</v>
      </c>
    </row>
    <row r="1400" spans="12:15" x14ac:dyDescent="0.15">
      <c r="L1400" s="7">
        <f t="shared" si="84"/>
        <v>0</v>
      </c>
      <c r="M1400" s="7">
        <f t="shared" si="85"/>
        <v>1</v>
      </c>
      <c r="N1400" s="7">
        <f t="shared" si="86"/>
        <v>0.5</v>
      </c>
      <c r="O1400" s="7">
        <f t="shared" si="87"/>
        <v>-0.69314718055994529</v>
      </c>
    </row>
    <row r="1401" spans="12:15" x14ac:dyDescent="0.15">
      <c r="L1401" s="7">
        <f t="shared" si="84"/>
        <v>0</v>
      </c>
      <c r="M1401" s="7">
        <f t="shared" si="85"/>
        <v>1</v>
      </c>
      <c r="N1401" s="7">
        <f t="shared" si="86"/>
        <v>0.5</v>
      </c>
      <c r="O1401" s="7">
        <f t="shared" si="87"/>
        <v>-0.69314718055994529</v>
      </c>
    </row>
    <row r="1402" spans="12:15" x14ac:dyDescent="0.15">
      <c r="L1402" s="7">
        <f t="shared" si="84"/>
        <v>0</v>
      </c>
      <c r="M1402" s="7">
        <f t="shared" si="85"/>
        <v>1</v>
      </c>
      <c r="N1402" s="7">
        <f t="shared" si="86"/>
        <v>0.5</v>
      </c>
      <c r="O1402" s="7">
        <f t="shared" si="87"/>
        <v>-0.69314718055994529</v>
      </c>
    </row>
    <row r="1403" spans="12:15" x14ac:dyDescent="0.15">
      <c r="L1403" s="7">
        <f t="shared" si="84"/>
        <v>0</v>
      </c>
      <c r="M1403" s="7">
        <f t="shared" si="85"/>
        <v>1</v>
      </c>
      <c r="N1403" s="7">
        <f t="shared" si="86"/>
        <v>0.5</v>
      </c>
      <c r="O1403" s="7">
        <f t="shared" si="87"/>
        <v>-0.69314718055994529</v>
      </c>
    </row>
    <row r="1404" spans="12:15" x14ac:dyDescent="0.15">
      <c r="L1404" s="7">
        <f t="shared" si="84"/>
        <v>0</v>
      </c>
      <c r="M1404" s="7">
        <f t="shared" si="85"/>
        <v>1</v>
      </c>
      <c r="N1404" s="7">
        <f t="shared" si="86"/>
        <v>0.5</v>
      </c>
      <c r="O1404" s="7">
        <f t="shared" si="87"/>
        <v>-0.69314718055994529</v>
      </c>
    </row>
    <row r="1405" spans="12:15" x14ac:dyDescent="0.15">
      <c r="L1405" s="7">
        <f t="shared" si="84"/>
        <v>0</v>
      </c>
      <c r="M1405" s="7">
        <f t="shared" si="85"/>
        <v>1</v>
      </c>
      <c r="N1405" s="7">
        <f t="shared" si="86"/>
        <v>0.5</v>
      </c>
      <c r="O1405" s="7">
        <f t="shared" si="87"/>
        <v>-0.69314718055994529</v>
      </c>
    </row>
    <row r="1406" spans="12:15" x14ac:dyDescent="0.15">
      <c r="L1406" s="7">
        <f t="shared" si="84"/>
        <v>0</v>
      </c>
      <c r="M1406" s="7">
        <f t="shared" si="85"/>
        <v>1</v>
      </c>
      <c r="N1406" s="7">
        <f t="shared" si="86"/>
        <v>0.5</v>
      </c>
      <c r="O1406" s="7">
        <f t="shared" si="87"/>
        <v>-0.69314718055994529</v>
      </c>
    </row>
    <row r="1407" spans="12:15" x14ac:dyDescent="0.15">
      <c r="L1407" s="7">
        <f t="shared" si="84"/>
        <v>0</v>
      </c>
      <c r="M1407" s="7">
        <f t="shared" si="85"/>
        <v>1</v>
      </c>
      <c r="N1407" s="7">
        <f t="shared" si="86"/>
        <v>0.5</v>
      </c>
      <c r="O1407" s="7">
        <f t="shared" si="87"/>
        <v>-0.69314718055994529</v>
      </c>
    </row>
    <row r="1408" spans="12:15" x14ac:dyDescent="0.15">
      <c r="L1408" s="7">
        <f t="shared" si="84"/>
        <v>0</v>
      </c>
      <c r="M1408" s="7">
        <f t="shared" si="85"/>
        <v>1</v>
      </c>
      <c r="N1408" s="7">
        <f t="shared" si="86"/>
        <v>0.5</v>
      </c>
      <c r="O1408" s="7">
        <f t="shared" si="87"/>
        <v>-0.69314718055994529</v>
      </c>
    </row>
    <row r="1409" spans="12:15" x14ac:dyDescent="0.15">
      <c r="L1409" s="7">
        <f t="shared" si="84"/>
        <v>0</v>
      </c>
      <c r="M1409" s="7">
        <f t="shared" si="85"/>
        <v>1</v>
      </c>
      <c r="N1409" s="7">
        <f t="shared" si="86"/>
        <v>0.5</v>
      </c>
      <c r="O1409" s="7">
        <f t="shared" si="87"/>
        <v>-0.69314718055994529</v>
      </c>
    </row>
    <row r="1410" spans="12:15" x14ac:dyDescent="0.15">
      <c r="L1410" s="7">
        <f t="shared" si="84"/>
        <v>0</v>
      </c>
      <c r="M1410" s="7">
        <f t="shared" si="85"/>
        <v>1</v>
      </c>
      <c r="N1410" s="7">
        <f t="shared" si="86"/>
        <v>0.5</v>
      </c>
      <c r="O1410" s="7">
        <f t="shared" si="87"/>
        <v>-0.69314718055994529</v>
      </c>
    </row>
    <row r="1411" spans="12:15" x14ac:dyDescent="0.15">
      <c r="L1411" s="7">
        <f t="shared" ref="L1411:L1474" si="88">$Q$1 + $Q$2*B1411+$Q$3*C1411+ $Q$4*D1411+$Q$5*E1411+$Q$6*F1411+$Q$7*G1411+H1411*$Q$8+I1411*$Q$9+J1411*$Q$10+K1411*$Q$11</f>
        <v>0</v>
      </c>
      <c r="M1411" s="7">
        <f t="shared" ref="M1411:M1474" si="89">EXP(L1411)</f>
        <v>1</v>
      </c>
      <c r="N1411" s="7">
        <f t="shared" ref="N1411:N1474" si="90">1/(1+M1411)</f>
        <v>0.5</v>
      </c>
      <c r="O1411" s="7">
        <f t="shared" ref="O1411:O1474" si="91">A1411*LN(N1411)+(1-A1411)*LN(1-N1411)</f>
        <v>-0.69314718055994529</v>
      </c>
    </row>
    <row r="1412" spans="12:15" x14ac:dyDescent="0.15">
      <c r="L1412" s="7">
        <f t="shared" si="88"/>
        <v>0</v>
      </c>
      <c r="M1412" s="7">
        <f t="shared" si="89"/>
        <v>1</v>
      </c>
      <c r="N1412" s="7">
        <f t="shared" si="90"/>
        <v>0.5</v>
      </c>
      <c r="O1412" s="7">
        <f t="shared" si="91"/>
        <v>-0.69314718055994529</v>
      </c>
    </row>
    <row r="1413" spans="12:15" x14ac:dyDescent="0.15">
      <c r="L1413" s="7">
        <f t="shared" si="88"/>
        <v>0</v>
      </c>
      <c r="M1413" s="7">
        <f t="shared" si="89"/>
        <v>1</v>
      </c>
      <c r="N1413" s="7">
        <f t="shared" si="90"/>
        <v>0.5</v>
      </c>
      <c r="O1413" s="7">
        <f t="shared" si="91"/>
        <v>-0.69314718055994529</v>
      </c>
    </row>
    <row r="1414" spans="12:15" x14ac:dyDescent="0.15">
      <c r="L1414" s="7">
        <f t="shared" si="88"/>
        <v>0</v>
      </c>
      <c r="M1414" s="7">
        <f t="shared" si="89"/>
        <v>1</v>
      </c>
      <c r="N1414" s="7">
        <f t="shared" si="90"/>
        <v>0.5</v>
      </c>
      <c r="O1414" s="7">
        <f t="shared" si="91"/>
        <v>-0.69314718055994529</v>
      </c>
    </row>
    <row r="1415" spans="12:15" x14ac:dyDescent="0.15">
      <c r="L1415" s="7">
        <f t="shared" si="88"/>
        <v>0</v>
      </c>
      <c r="M1415" s="7">
        <f t="shared" si="89"/>
        <v>1</v>
      </c>
      <c r="N1415" s="7">
        <f t="shared" si="90"/>
        <v>0.5</v>
      </c>
      <c r="O1415" s="7">
        <f t="shared" si="91"/>
        <v>-0.69314718055994529</v>
      </c>
    </row>
    <row r="1416" spans="12:15" x14ac:dyDescent="0.15">
      <c r="L1416" s="7">
        <f t="shared" si="88"/>
        <v>0</v>
      </c>
      <c r="M1416" s="7">
        <f t="shared" si="89"/>
        <v>1</v>
      </c>
      <c r="N1416" s="7">
        <f t="shared" si="90"/>
        <v>0.5</v>
      </c>
      <c r="O1416" s="7">
        <f t="shared" si="91"/>
        <v>-0.69314718055994529</v>
      </c>
    </row>
    <row r="1417" spans="12:15" x14ac:dyDescent="0.15">
      <c r="L1417" s="7">
        <f t="shared" si="88"/>
        <v>0</v>
      </c>
      <c r="M1417" s="7">
        <f t="shared" si="89"/>
        <v>1</v>
      </c>
      <c r="N1417" s="7">
        <f t="shared" si="90"/>
        <v>0.5</v>
      </c>
      <c r="O1417" s="7">
        <f t="shared" si="91"/>
        <v>-0.69314718055994529</v>
      </c>
    </row>
    <row r="1418" spans="12:15" x14ac:dyDescent="0.15">
      <c r="L1418" s="7">
        <f t="shared" si="88"/>
        <v>0</v>
      </c>
      <c r="M1418" s="7">
        <f t="shared" si="89"/>
        <v>1</v>
      </c>
      <c r="N1418" s="7">
        <f t="shared" si="90"/>
        <v>0.5</v>
      </c>
      <c r="O1418" s="7">
        <f t="shared" si="91"/>
        <v>-0.69314718055994529</v>
      </c>
    </row>
    <row r="1419" spans="12:15" x14ac:dyDescent="0.15">
      <c r="L1419" s="7">
        <f t="shared" si="88"/>
        <v>0</v>
      </c>
      <c r="M1419" s="7">
        <f t="shared" si="89"/>
        <v>1</v>
      </c>
      <c r="N1419" s="7">
        <f t="shared" si="90"/>
        <v>0.5</v>
      </c>
      <c r="O1419" s="7">
        <f t="shared" si="91"/>
        <v>-0.69314718055994529</v>
      </c>
    </row>
    <row r="1420" spans="12:15" x14ac:dyDescent="0.15">
      <c r="L1420" s="7">
        <f t="shared" si="88"/>
        <v>0</v>
      </c>
      <c r="M1420" s="7">
        <f t="shared" si="89"/>
        <v>1</v>
      </c>
      <c r="N1420" s="7">
        <f t="shared" si="90"/>
        <v>0.5</v>
      </c>
      <c r="O1420" s="7">
        <f t="shared" si="91"/>
        <v>-0.69314718055994529</v>
      </c>
    </row>
    <row r="1421" spans="12:15" x14ac:dyDescent="0.15">
      <c r="L1421" s="7">
        <f t="shared" si="88"/>
        <v>0</v>
      </c>
      <c r="M1421" s="7">
        <f t="shared" si="89"/>
        <v>1</v>
      </c>
      <c r="N1421" s="7">
        <f t="shared" si="90"/>
        <v>0.5</v>
      </c>
      <c r="O1421" s="7">
        <f t="shared" si="91"/>
        <v>-0.69314718055994529</v>
      </c>
    </row>
    <row r="1422" spans="12:15" x14ac:dyDescent="0.15">
      <c r="L1422" s="7">
        <f t="shared" si="88"/>
        <v>0</v>
      </c>
      <c r="M1422" s="7">
        <f t="shared" si="89"/>
        <v>1</v>
      </c>
      <c r="N1422" s="7">
        <f t="shared" si="90"/>
        <v>0.5</v>
      </c>
      <c r="O1422" s="7">
        <f t="shared" si="91"/>
        <v>-0.69314718055994529</v>
      </c>
    </row>
    <row r="1423" spans="12:15" x14ac:dyDescent="0.15">
      <c r="L1423" s="7">
        <f t="shared" si="88"/>
        <v>0</v>
      </c>
      <c r="M1423" s="7">
        <f t="shared" si="89"/>
        <v>1</v>
      </c>
      <c r="N1423" s="7">
        <f t="shared" si="90"/>
        <v>0.5</v>
      </c>
      <c r="O1423" s="7">
        <f t="shared" si="91"/>
        <v>-0.69314718055994529</v>
      </c>
    </row>
    <row r="1424" spans="12:15" x14ac:dyDescent="0.15">
      <c r="L1424" s="7">
        <f t="shared" si="88"/>
        <v>0</v>
      </c>
      <c r="M1424" s="7">
        <f t="shared" si="89"/>
        <v>1</v>
      </c>
      <c r="N1424" s="7">
        <f t="shared" si="90"/>
        <v>0.5</v>
      </c>
      <c r="O1424" s="7">
        <f t="shared" si="91"/>
        <v>-0.69314718055994529</v>
      </c>
    </row>
    <row r="1425" spans="12:15" x14ac:dyDescent="0.15">
      <c r="L1425" s="7">
        <f t="shared" si="88"/>
        <v>0</v>
      </c>
      <c r="M1425" s="7">
        <f t="shared" si="89"/>
        <v>1</v>
      </c>
      <c r="N1425" s="7">
        <f t="shared" si="90"/>
        <v>0.5</v>
      </c>
      <c r="O1425" s="7">
        <f t="shared" si="91"/>
        <v>-0.69314718055994529</v>
      </c>
    </row>
    <row r="1426" spans="12:15" x14ac:dyDescent="0.15">
      <c r="L1426" s="7">
        <f t="shared" si="88"/>
        <v>0</v>
      </c>
      <c r="M1426" s="7">
        <f t="shared" si="89"/>
        <v>1</v>
      </c>
      <c r="N1426" s="7">
        <f t="shared" si="90"/>
        <v>0.5</v>
      </c>
      <c r="O1426" s="7">
        <f t="shared" si="91"/>
        <v>-0.69314718055994529</v>
      </c>
    </row>
    <row r="1427" spans="12:15" x14ac:dyDescent="0.15">
      <c r="L1427" s="7">
        <f t="shared" si="88"/>
        <v>0</v>
      </c>
      <c r="M1427" s="7">
        <f t="shared" si="89"/>
        <v>1</v>
      </c>
      <c r="N1427" s="7">
        <f t="shared" si="90"/>
        <v>0.5</v>
      </c>
      <c r="O1427" s="7">
        <f t="shared" si="91"/>
        <v>-0.69314718055994529</v>
      </c>
    </row>
    <row r="1428" spans="12:15" x14ac:dyDescent="0.15">
      <c r="L1428" s="7">
        <f t="shared" si="88"/>
        <v>0</v>
      </c>
      <c r="M1428" s="7">
        <f t="shared" si="89"/>
        <v>1</v>
      </c>
      <c r="N1428" s="7">
        <f t="shared" si="90"/>
        <v>0.5</v>
      </c>
      <c r="O1428" s="7">
        <f t="shared" si="91"/>
        <v>-0.69314718055994529</v>
      </c>
    </row>
    <row r="1429" spans="12:15" x14ac:dyDescent="0.15">
      <c r="L1429" s="7">
        <f t="shared" si="88"/>
        <v>0</v>
      </c>
      <c r="M1429" s="7">
        <f t="shared" si="89"/>
        <v>1</v>
      </c>
      <c r="N1429" s="7">
        <f t="shared" si="90"/>
        <v>0.5</v>
      </c>
      <c r="O1429" s="7">
        <f t="shared" si="91"/>
        <v>-0.69314718055994529</v>
      </c>
    </row>
    <row r="1430" spans="12:15" x14ac:dyDescent="0.15">
      <c r="L1430" s="7">
        <f t="shared" si="88"/>
        <v>0</v>
      </c>
      <c r="M1430" s="7">
        <f t="shared" si="89"/>
        <v>1</v>
      </c>
      <c r="N1430" s="7">
        <f t="shared" si="90"/>
        <v>0.5</v>
      </c>
      <c r="O1430" s="7">
        <f t="shared" si="91"/>
        <v>-0.69314718055994529</v>
      </c>
    </row>
    <row r="1431" spans="12:15" x14ac:dyDescent="0.15">
      <c r="L1431" s="7">
        <f t="shared" si="88"/>
        <v>0</v>
      </c>
      <c r="M1431" s="7">
        <f t="shared" si="89"/>
        <v>1</v>
      </c>
      <c r="N1431" s="7">
        <f t="shared" si="90"/>
        <v>0.5</v>
      </c>
      <c r="O1431" s="7">
        <f t="shared" si="91"/>
        <v>-0.69314718055994529</v>
      </c>
    </row>
    <row r="1432" spans="12:15" x14ac:dyDescent="0.15">
      <c r="L1432" s="7">
        <f t="shared" si="88"/>
        <v>0</v>
      </c>
      <c r="M1432" s="7">
        <f t="shared" si="89"/>
        <v>1</v>
      </c>
      <c r="N1432" s="7">
        <f t="shared" si="90"/>
        <v>0.5</v>
      </c>
      <c r="O1432" s="7">
        <f t="shared" si="91"/>
        <v>-0.69314718055994529</v>
      </c>
    </row>
    <row r="1433" spans="12:15" x14ac:dyDescent="0.15">
      <c r="L1433" s="7">
        <f t="shared" si="88"/>
        <v>0</v>
      </c>
      <c r="M1433" s="7">
        <f t="shared" si="89"/>
        <v>1</v>
      </c>
      <c r="N1433" s="7">
        <f t="shared" si="90"/>
        <v>0.5</v>
      </c>
      <c r="O1433" s="7">
        <f t="shared" si="91"/>
        <v>-0.69314718055994529</v>
      </c>
    </row>
    <row r="1434" spans="12:15" x14ac:dyDescent="0.15">
      <c r="L1434" s="7">
        <f t="shared" si="88"/>
        <v>0</v>
      </c>
      <c r="M1434" s="7">
        <f t="shared" si="89"/>
        <v>1</v>
      </c>
      <c r="N1434" s="7">
        <f t="shared" si="90"/>
        <v>0.5</v>
      </c>
      <c r="O1434" s="7">
        <f t="shared" si="91"/>
        <v>-0.69314718055994529</v>
      </c>
    </row>
    <row r="1435" spans="12:15" x14ac:dyDescent="0.15">
      <c r="L1435" s="7">
        <f t="shared" si="88"/>
        <v>0</v>
      </c>
      <c r="M1435" s="7">
        <f t="shared" si="89"/>
        <v>1</v>
      </c>
      <c r="N1435" s="7">
        <f t="shared" si="90"/>
        <v>0.5</v>
      </c>
      <c r="O1435" s="7">
        <f t="shared" si="91"/>
        <v>-0.69314718055994529</v>
      </c>
    </row>
    <row r="1436" spans="12:15" x14ac:dyDescent="0.15">
      <c r="L1436" s="7">
        <f t="shared" si="88"/>
        <v>0</v>
      </c>
      <c r="M1436" s="7">
        <f t="shared" si="89"/>
        <v>1</v>
      </c>
      <c r="N1436" s="7">
        <f t="shared" si="90"/>
        <v>0.5</v>
      </c>
      <c r="O1436" s="7">
        <f t="shared" si="91"/>
        <v>-0.69314718055994529</v>
      </c>
    </row>
    <row r="1437" spans="12:15" x14ac:dyDescent="0.15">
      <c r="L1437" s="7">
        <f t="shared" si="88"/>
        <v>0</v>
      </c>
      <c r="M1437" s="7">
        <f t="shared" si="89"/>
        <v>1</v>
      </c>
      <c r="N1437" s="7">
        <f t="shared" si="90"/>
        <v>0.5</v>
      </c>
      <c r="O1437" s="7">
        <f t="shared" si="91"/>
        <v>-0.69314718055994529</v>
      </c>
    </row>
    <row r="1438" spans="12:15" x14ac:dyDescent="0.15">
      <c r="L1438" s="7">
        <f t="shared" si="88"/>
        <v>0</v>
      </c>
      <c r="M1438" s="7">
        <f t="shared" si="89"/>
        <v>1</v>
      </c>
      <c r="N1438" s="7">
        <f t="shared" si="90"/>
        <v>0.5</v>
      </c>
      <c r="O1438" s="7">
        <f t="shared" si="91"/>
        <v>-0.69314718055994529</v>
      </c>
    </row>
    <row r="1439" spans="12:15" x14ac:dyDescent="0.15">
      <c r="L1439" s="7">
        <f t="shared" si="88"/>
        <v>0</v>
      </c>
      <c r="M1439" s="7">
        <f t="shared" si="89"/>
        <v>1</v>
      </c>
      <c r="N1439" s="7">
        <f t="shared" si="90"/>
        <v>0.5</v>
      </c>
      <c r="O1439" s="7">
        <f t="shared" si="91"/>
        <v>-0.69314718055994529</v>
      </c>
    </row>
    <row r="1440" spans="12:15" x14ac:dyDescent="0.15">
      <c r="L1440" s="7">
        <f t="shared" si="88"/>
        <v>0</v>
      </c>
      <c r="M1440" s="7">
        <f t="shared" si="89"/>
        <v>1</v>
      </c>
      <c r="N1440" s="7">
        <f t="shared" si="90"/>
        <v>0.5</v>
      </c>
      <c r="O1440" s="7">
        <f t="shared" si="91"/>
        <v>-0.69314718055994529</v>
      </c>
    </row>
    <row r="1441" spans="12:15" x14ac:dyDescent="0.15">
      <c r="L1441" s="7">
        <f t="shared" si="88"/>
        <v>0</v>
      </c>
      <c r="M1441" s="7">
        <f t="shared" si="89"/>
        <v>1</v>
      </c>
      <c r="N1441" s="7">
        <f t="shared" si="90"/>
        <v>0.5</v>
      </c>
      <c r="O1441" s="7">
        <f t="shared" si="91"/>
        <v>-0.69314718055994529</v>
      </c>
    </row>
    <row r="1442" spans="12:15" x14ac:dyDescent="0.15">
      <c r="L1442" s="7">
        <f t="shared" si="88"/>
        <v>0</v>
      </c>
      <c r="M1442" s="7">
        <f t="shared" si="89"/>
        <v>1</v>
      </c>
      <c r="N1442" s="7">
        <f t="shared" si="90"/>
        <v>0.5</v>
      </c>
      <c r="O1442" s="7">
        <f t="shared" si="91"/>
        <v>-0.69314718055994529</v>
      </c>
    </row>
    <row r="1443" spans="12:15" x14ac:dyDescent="0.15">
      <c r="L1443" s="7">
        <f t="shared" si="88"/>
        <v>0</v>
      </c>
      <c r="M1443" s="7">
        <f t="shared" si="89"/>
        <v>1</v>
      </c>
      <c r="N1443" s="7">
        <f t="shared" si="90"/>
        <v>0.5</v>
      </c>
      <c r="O1443" s="7">
        <f t="shared" si="91"/>
        <v>-0.69314718055994529</v>
      </c>
    </row>
    <row r="1444" spans="12:15" x14ac:dyDescent="0.15">
      <c r="L1444" s="7">
        <f t="shared" si="88"/>
        <v>0</v>
      </c>
      <c r="M1444" s="7">
        <f t="shared" si="89"/>
        <v>1</v>
      </c>
      <c r="N1444" s="7">
        <f t="shared" si="90"/>
        <v>0.5</v>
      </c>
      <c r="O1444" s="7">
        <f t="shared" si="91"/>
        <v>-0.69314718055994529</v>
      </c>
    </row>
    <row r="1445" spans="12:15" x14ac:dyDescent="0.15">
      <c r="L1445" s="7">
        <f t="shared" si="88"/>
        <v>0</v>
      </c>
      <c r="M1445" s="7">
        <f t="shared" si="89"/>
        <v>1</v>
      </c>
      <c r="N1445" s="7">
        <f t="shared" si="90"/>
        <v>0.5</v>
      </c>
      <c r="O1445" s="7">
        <f t="shared" si="91"/>
        <v>-0.69314718055994529</v>
      </c>
    </row>
    <row r="1446" spans="12:15" x14ac:dyDescent="0.15">
      <c r="L1446" s="7">
        <f t="shared" si="88"/>
        <v>0</v>
      </c>
      <c r="M1446" s="7">
        <f t="shared" si="89"/>
        <v>1</v>
      </c>
      <c r="N1446" s="7">
        <f t="shared" si="90"/>
        <v>0.5</v>
      </c>
      <c r="O1446" s="7">
        <f t="shared" si="91"/>
        <v>-0.69314718055994529</v>
      </c>
    </row>
    <row r="1447" spans="12:15" x14ac:dyDescent="0.15">
      <c r="L1447" s="7">
        <f t="shared" si="88"/>
        <v>0</v>
      </c>
      <c r="M1447" s="7">
        <f t="shared" si="89"/>
        <v>1</v>
      </c>
      <c r="N1447" s="7">
        <f t="shared" si="90"/>
        <v>0.5</v>
      </c>
      <c r="O1447" s="7">
        <f t="shared" si="91"/>
        <v>-0.69314718055994529</v>
      </c>
    </row>
    <row r="1448" spans="12:15" x14ac:dyDescent="0.15">
      <c r="L1448" s="7">
        <f t="shared" si="88"/>
        <v>0</v>
      </c>
      <c r="M1448" s="7">
        <f t="shared" si="89"/>
        <v>1</v>
      </c>
      <c r="N1448" s="7">
        <f t="shared" si="90"/>
        <v>0.5</v>
      </c>
      <c r="O1448" s="7">
        <f t="shared" si="91"/>
        <v>-0.69314718055994529</v>
      </c>
    </row>
    <row r="1449" spans="12:15" x14ac:dyDescent="0.15">
      <c r="L1449" s="7">
        <f t="shared" si="88"/>
        <v>0</v>
      </c>
      <c r="M1449" s="7">
        <f t="shared" si="89"/>
        <v>1</v>
      </c>
      <c r="N1449" s="7">
        <f t="shared" si="90"/>
        <v>0.5</v>
      </c>
      <c r="O1449" s="7">
        <f t="shared" si="91"/>
        <v>-0.69314718055994529</v>
      </c>
    </row>
    <row r="1450" spans="12:15" x14ac:dyDescent="0.15">
      <c r="L1450" s="7">
        <f t="shared" si="88"/>
        <v>0</v>
      </c>
      <c r="M1450" s="7">
        <f t="shared" si="89"/>
        <v>1</v>
      </c>
      <c r="N1450" s="7">
        <f t="shared" si="90"/>
        <v>0.5</v>
      </c>
      <c r="O1450" s="7">
        <f t="shared" si="91"/>
        <v>-0.69314718055994529</v>
      </c>
    </row>
    <row r="1451" spans="12:15" x14ac:dyDescent="0.15">
      <c r="L1451" s="7">
        <f t="shared" si="88"/>
        <v>0</v>
      </c>
      <c r="M1451" s="7">
        <f t="shared" si="89"/>
        <v>1</v>
      </c>
      <c r="N1451" s="7">
        <f t="shared" si="90"/>
        <v>0.5</v>
      </c>
      <c r="O1451" s="7">
        <f t="shared" si="91"/>
        <v>-0.69314718055994529</v>
      </c>
    </row>
    <row r="1452" spans="12:15" x14ac:dyDescent="0.15">
      <c r="L1452" s="7">
        <f t="shared" si="88"/>
        <v>0</v>
      </c>
      <c r="M1452" s="7">
        <f t="shared" si="89"/>
        <v>1</v>
      </c>
      <c r="N1452" s="7">
        <f t="shared" si="90"/>
        <v>0.5</v>
      </c>
      <c r="O1452" s="7">
        <f t="shared" si="91"/>
        <v>-0.69314718055994529</v>
      </c>
    </row>
    <row r="1453" spans="12:15" x14ac:dyDescent="0.15">
      <c r="L1453" s="7">
        <f t="shared" si="88"/>
        <v>0</v>
      </c>
      <c r="M1453" s="7">
        <f t="shared" si="89"/>
        <v>1</v>
      </c>
      <c r="N1453" s="7">
        <f t="shared" si="90"/>
        <v>0.5</v>
      </c>
      <c r="O1453" s="7">
        <f t="shared" si="91"/>
        <v>-0.69314718055994529</v>
      </c>
    </row>
    <row r="1454" spans="12:15" x14ac:dyDescent="0.15">
      <c r="L1454" s="7">
        <f t="shared" si="88"/>
        <v>0</v>
      </c>
      <c r="M1454" s="7">
        <f t="shared" si="89"/>
        <v>1</v>
      </c>
      <c r="N1454" s="7">
        <f t="shared" si="90"/>
        <v>0.5</v>
      </c>
      <c r="O1454" s="7">
        <f t="shared" si="91"/>
        <v>-0.69314718055994529</v>
      </c>
    </row>
    <row r="1455" spans="12:15" x14ac:dyDescent="0.15">
      <c r="L1455" s="7">
        <f t="shared" si="88"/>
        <v>0</v>
      </c>
      <c r="M1455" s="7">
        <f t="shared" si="89"/>
        <v>1</v>
      </c>
      <c r="N1455" s="7">
        <f t="shared" si="90"/>
        <v>0.5</v>
      </c>
      <c r="O1455" s="7">
        <f t="shared" si="91"/>
        <v>-0.69314718055994529</v>
      </c>
    </row>
    <row r="1456" spans="12:15" x14ac:dyDescent="0.15">
      <c r="L1456" s="7">
        <f t="shared" si="88"/>
        <v>0</v>
      </c>
      <c r="M1456" s="7">
        <f t="shared" si="89"/>
        <v>1</v>
      </c>
      <c r="N1456" s="7">
        <f t="shared" si="90"/>
        <v>0.5</v>
      </c>
      <c r="O1456" s="7">
        <f t="shared" si="91"/>
        <v>-0.69314718055994529</v>
      </c>
    </row>
    <row r="1457" spans="12:15" x14ac:dyDescent="0.15">
      <c r="L1457" s="7">
        <f t="shared" si="88"/>
        <v>0</v>
      </c>
      <c r="M1457" s="7">
        <f t="shared" si="89"/>
        <v>1</v>
      </c>
      <c r="N1457" s="7">
        <f t="shared" si="90"/>
        <v>0.5</v>
      </c>
      <c r="O1457" s="7">
        <f t="shared" si="91"/>
        <v>-0.69314718055994529</v>
      </c>
    </row>
    <row r="1458" spans="12:15" x14ac:dyDescent="0.15">
      <c r="L1458" s="7">
        <f t="shared" si="88"/>
        <v>0</v>
      </c>
      <c r="M1458" s="7">
        <f t="shared" si="89"/>
        <v>1</v>
      </c>
      <c r="N1458" s="7">
        <f t="shared" si="90"/>
        <v>0.5</v>
      </c>
      <c r="O1458" s="7">
        <f t="shared" si="91"/>
        <v>-0.69314718055994529</v>
      </c>
    </row>
    <row r="1459" spans="12:15" x14ac:dyDescent="0.15">
      <c r="L1459" s="7">
        <f t="shared" si="88"/>
        <v>0</v>
      </c>
      <c r="M1459" s="7">
        <f t="shared" si="89"/>
        <v>1</v>
      </c>
      <c r="N1459" s="7">
        <f t="shared" si="90"/>
        <v>0.5</v>
      </c>
      <c r="O1459" s="7">
        <f t="shared" si="91"/>
        <v>-0.69314718055994529</v>
      </c>
    </row>
    <row r="1460" spans="12:15" x14ac:dyDescent="0.15">
      <c r="L1460" s="7">
        <f t="shared" si="88"/>
        <v>0</v>
      </c>
      <c r="M1460" s="7">
        <f t="shared" si="89"/>
        <v>1</v>
      </c>
      <c r="N1460" s="7">
        <f t="shared" si="90"/>
        <v>0.5</v>
      </c>
      <c r="O1460" s="7">
        <f t="shared" si="91"/>
        <v>-0.69314718055994529</v>
      </c>
    </row>
    <row r="1461" spans="12:15" x14ac:dyDescent="0.15">
      <c r="L1461" s="7">
        <f t="shared" si="88"/>
        <v>0</v>
      </c>
      <c r="M1461" s="7">
        <f t="shared" si="89"/>
        <v>1</v>
      </c>
      <c r="N1461" s="7">
        <f t="shared" si="90"/>
        <v>0.5</v>
      </c>
      <c r="O1461" s="7">
        <f t="shared" si="91"/>
        <v>-0.69314718055994529</v>
      </c>
    </row>
    <row r="1462" spans="12:15" x14ac:dyDescent="0.15">
      <c r="L1462" s="7">
        <f t="shared" si="88"/>
        <v>0</v>
      </c>
      <c r="M1462" s="7">
        <f t="shared" si="89"/>
        <v>1</v>
      </c>
      <c r="N1462" s="7">
        <f t="shared" si="90"/>
        <v>0.5</v>
      </c>
      <c r="O1462" s="7">
        <f t="shared" si="91"/>
        <v>-0.69314718055994529</v>
      </c>
    </row>
    <row r="1463" spans="12:15" x14ac:dyDescent="0.15">
      <c r="L1463" s="7">
        <f t="shared" si="88"/>
        <v>0</v>
      </c>
      <c r="M1463" s="7">
        <f t="shared" si="89"/>
        <v>1</v>
      </c>
      <c r="N1463" s="7">
        <f t="shared" si="90"/>
        <v>0.5</v>
      </c>
      <c r="O1463" s="7">
        <f t="shared" si="91"/>
        <v>-0.69314718055994529</v>
      </c>
    </row>
    <row r="1464" spans="12:15" x14ac:dyDescent="0.15">
      <c r="L1464" s="7">
        <f t="shared" si="88"/>
        <v>0</v>
      </c>
      <c r="M1464" s="7">
        <f t="shared" si="89"/>
        <v>1</v>
      </c>
      <c r="N1464" s="7">
        <f t="shared" si="90"/>
        <v>0.5</v>
      </c>
      <c r="O1464" s="7">
        <f t="shared" si="91"/>
        <v>-0.69314718055994529</v>
      </c>
    </row>
    <row r="1465" spans="12:15" x14ac:dyDescent="0.15">
      <c r="L1465" s="7">
        <f t="shared" si="88"/>
        <v>0</v>
      </c>
      <c r="M1465" s="7">
        <f t="shared" si="89"/>
        <v>1</v>
      </c>
      <c r="N1465" s="7">
        <f t="shared" si="90"/>
        <v>0.5</v>
      </c>
      <c r="O1465" s="7">
        <f t="shared" si="91"/>
        <v>-0.69314718055994529</v>
      </c>
    </row>
    <row r="1466" spans="12:15" x14ac:dyDescent="0.15">
      <c r="L1466" s="7">
        <f t="shared" si="88"/>
        <v>0</v>
      </c>
      <c r="M1466" s="7">
        <f t="shared" si="89"/>
        <v>1</v>
      </c>
      <c r="N1466" s="7">
        <f t="shared" si="90"/>
        <v>0.5</v>
      </c>
      <c r="O1466" s="7">
        <f t="shared" si="91"/>
        <v>-0.69314718055994529</v>
      </c>
    </row>
    <row r="1467" spans="12:15" x14ac:dyDescent="0.15">
      <c r="L1467" s="7">
        <f t="shared" si="88"/>
        <v>0</v>
      </c>
      <c r="M1467" s="7">
        <f t="shared" si="89"/>
        <v>1</v>
      </c>
      <c r="N1467" s="7">
        <f t="shared" si="90"/>
        <v>0.5</v>
      </c>
      <c r="O1467" s="7">
        <f t="shared" si="91"/>
        <v>-0.69314718055994529</v>
      </c>
    </row>
    <row r="1468" spans="12:15" x14ac:dyDescent="0.15">
      <c r="L1468" s="7">
        <f t="shared" si="88"/>
        <v>0</v>
      </c>
      <c r="M1468" s="7">
        <f t="shared" si="89"/>
        <v>1</v>
      </c>
      <c r="N1468" s="7">
        <f t="shared" si="90"/>
        <v>0.5</v>
      </c>
      <c r="O1468" s="7">
        <f t="shared" si="91"/>
        <v>-0.69314718055994529</v>
      </c>
    </row>
    <row r="1469" spans="12:15" x14ac:dyDescent="0.15">
      <c r="L1469" s="7">
        <f t="shared" si="88"/>
        <v>0</v>
      </c>
      <c r="M1469" s="7">
        <f t="shared" si="89"/>
        <v>1</v>
      </c>
      <c r="N1469" s="7">
        <f t="shared" si="90"/>
        <v>0.5</v>
      </c>
      <c r="O1469" s="7">
        <f t="shared" si="91"/>
        <v>-0.69314718055994529</v>
      </c>
    </row>
    <row r="1470" spans="12:15" x14ac:dyDescent="0.15">
      <c r="L1470" s="7">
        <f t="shared" si="88"/>
        <v>0</v>
      </c>
      <c r="M1470" s="7">
        <f t="shared" si="89"/>
        <v>1</v>
      </c>
      <c r="N1470" s="7">
        <f t="shared" si="90"/>
        <v>0.5</v>
      </c>
      <c r="O1470" s="7">
        <f t="shared" si="91"/>
        <v>-0.69314718055994529</v>
      </c>
    </row>
    <row r="1471" spans="12:15" x14ac:dyDescent="0.15">
      <c r="L1471" s="7">
        <f t="shared" si="88"/>
        <v>0</v>
      </c>
      <c r="M1471" s="7">
        <f t="shared" si="89"/>
        <v>1</v>
      </c>
      <c r="N1471" s="7">
        <f t="shared" si="90"/>
        <v>0.5</v>
      </c>
      <c r="O1471" s="7">
        <f t="shared" si="91"/>
        <v>-0.69314718055994529</v>
      </c>
    </row>
    <row r="1472" spans="12:15" x14ac:dyDescent="0.15">
      <c r="L1472" s="7">
        <f t="shared" si="88"/>
        <v>0</v>
      </c>
      <c r="M1472" s="7">
        <f t="shared" si="89"/>
        <v>1</v>
      </c>
      <c r="N1472" s="7">
        <f t="shared" si="90"/>
        <v>0.5</v>
      </c>
      <c r="O1472" s="7">
        <f t="shared" si="91"/>
        <v>-0.69314718055994529</v>
      </c>
    </row>
    <row r="1473" spans="12:15" x14ac:dyDescent="0.15">
      <c r="L1473" s="7">
        <f t="shared" si="88"/>
        <v>0</v>
      </c>
      <c r="M1473" s="7">
        <f t="shared" si="89"/>
        <v>1</v>
      </c>
      <c r="N1473" s="7">
        <f t="shared" si="90"/>
        <v>0.5</v>
      </c>
      <c r="O1473" s="7">
        <f t="shared" si="91"/>
        <v>-0.69314718055994529</v>
      </c>
    </row>
    <row r="1474" spans="12:15" x14ac:dyDescent="0.15">
      <c r="L1474" s="7">
        <f t="shared" si="88"/>
        <v>0</v>
      </c>
      <c r="M1474" s="7">
        <f t="shared" si="89"/>
        <v>1</v>
      </c>
      <c r="N1474" s="7">
        <f t="shared" si="90"/>
        <v>0.5</v>
      </c>
      <c r="O1474" s="7">
        <f t="shared" si="91"/>
        <v>-0.69314718055994529</v>
      </c>
    </row>
    <row r="1475" spans="12:15" x14ac:dyDescent="0.15">
      <c r="L1475" s="7">
        <f t="shared" ref="L1475:L1538" si="92">$Q$1 + $Q$2*B1475+$Q$3*C1475+ $Q$4*D1475+$Q$5*E1475+$Q$6*F1475+$Q$7*G1475+H1475*$Q$8+I1475*$Q$9+J1475*$Q$10+K1475*$Q$11</f>
        <v>0</v>
      </c>
      <c r="M1475" s="7">
        <f t="shared" ref="M1475:M1538" si="93">EXP(L1475)</f>
        <v>1</v>
      </c>
      <c r="N1475" s="7">
        <f t="shared" ref="N1475:N1538" si="94">1/(1+M1475)</f>
        <v>0.5</v>
      </c>
      <c r="O1475" s="7">
        <f t="shared" ref="O1475:O1538" si="95">A1475*LN(N1475)+(1-A1475)*LN(1-N1475)</f>
        <v>-0.69314718055994529</v>
      </c>
    </row>
    <row r="1476" spans="12:15" x14ac:dyDescent="0.15">
      <c r="L1476" s="7">
        <f t="shared" si="92"/>
        <v>0</v>
      </c>
      <c r="M1476" s="7">
        <f t="shared" si="93"/>
        <v>1</v>
      </c>
      <c r="N1476" s="7">
        <f t="shared" si="94"/>
        <v>0.5</v>
      </c>
      <c r="O1476" s="7">
        <f t="shared" si="95"/>
        <v>-0.69314718055994529</v>
      </c>
    </row>
    <row r="1477" spans="12:15" x14ac:dyDescent="0.15">
      <c r="L1477" s="7">
        <f t="shared" si="92"/>
        <v>0</v>
      </c>
      <c r="M1477" s="7">
        <f t="shared" si="93"/>
        <v>1</v>
      </c>
      <c r="N1477" s="7">
        <f t="shared" si="94"/>
        <v>0.5</v>
      </c>
      <c r="O1477" s="7">
        <f t="shared" si="95"/>
        <v>-0.69314718055994529</v>
      </c>
    </row>
    <row r="1478" spans="12:15" x14ac:dyDescent="0.15">
      <c r="L1478" s="7">
        <f t="shared" si="92"/>
        <v>0</v>
      </c>
      <c r="M1478" s="7">
        <f t="shared" si="93"/>
        <v>1</v>
      </c>
      <c r="N1478" s="7">
        <f t="shared" si="94"/>
        <v>0.5</v>
      </c>
      <c r="O1478" s="7">
        <f t="shared" si="95"/>
        <v>-0.69314718055994529</v>
      </c>
    </row>
    <row r="1479" spans="12:15" x14ac:dyDescent="0.15">
      <c r="L1479" s="7">
        <f t="shared" si="92"/>
        <v>0</v>
      </c>
      <c r="M1479" s="7">
        <f t="shared" si="93"/>
        <v>1</v>
      </c>
      <c r="N1479" s="7">
        <f t="shared" si="94"/>
        <v>0.5</v>
      </c>
      <c r="O1479" s="7">
        <f t="shared" si="95"/>
        <v>-0.69314718055994529</v>
      </c>
    </row>
    <row r="1480" spans="12:15" x14ac:dyDescent="0.15">
      <c r="L1480" s="7">
        <f t="shared" si="92"/>
        <v>0</v>
      </c>
      <c r="M1480" s="7">
        <f t="shared" si="93"/>
        <v>1</v>
      </c>
      <c r="N1480" s="7">
        <f t="shared" si="94"/>
        <v>0.5</v>
      </c>
      <c r="O1480" s="7">
        <f t="shared" si="95"/>
        <v>-0.69314718055994529</v>
      </c>
    </row>
    <row r="1481" spans="12:15" x14ac:dyDescent="0.15">
      <c r="L1481" s="7">
        <f t="shared" si="92"/>
        <v>0</v>
      </c>
      <c r="M1481" s="7">
        <f t="shared" si="93"/>
        <v>1</v>
      </c>
      <c r="N1481" s="7">
        <f t="shared" si="94"/>
        <v>0.5</v>
      </c>
      <c r="O1481" s="7">
        <f t="shared" si="95"/>
        <v>-0.69314718055994529</v>
      </c>
    </row>
    <row r="1482" spans="12:15" x14ac:dyDescent="0.15">
      <c r="L1482" s="7">
        <f t="shared" si="92"/>
        <v>0</v>
      </c>
      <c r="M1482" s="7">
        <f t="shared" si="93"/>
        <v>1</v>
      </c>
      <c r="N1482" s="7">
        <f t="shared" si="94"/>
        <v>0.5</v>
      </c>
      <c r="O1482" s="7">
        <f t="shared" si="95"/>
        <v>-0.69314718055994529</v>
      </c>
    </row>
    <row r="1483" spans="12:15" x14ac:dyDescent="0.15">
      <c r="L1483" s="7">
        <f t="shared" si="92"/>
        <v>0</v>
      </c>
      <c r="M1483" s="7">
        <f t="shared" si="93"/>
        <v>1</v>
      </c>
      <c r="N1483" s="7">
        <f t="shared" si="94"/>
        <v>0.5</v>
      </c>
      <c r="O1483" s="7">
        <f t="shared" si="95"/>
        <v>-0.69314718055994529</v>
      </c>
    </row>
    <row r="1484" spans="12:15" x14ac:dyDescent="0.15">
      <c r="L1484" s="7">
        <f t="shared" si="92"/>
        <v>0</v>
      </c>
      <c r="M1484" s="7">
        <f t="shared" si="93"/>
        <v>1</v>
      </c>
      <c r="N1484" s="7">
        <f t="shared" si="94"/>
        <v>0.5</v>
      </c>
      <c r="O1484" s="7">
        <f t="shared" si="95"/>
        <v>-0.69314718055994529</v>
      </c>
    </row>
    <row r="1485" spans="12:15" x14ac:dyDescent="0.15">
      <c r="L1485" s="7">
        <f t="shared" si="92"/>
        <v>0</v>
      </c>
      <c r="M1485" s="7">
        <f t="shared" si="93"/>
        <v>1</v>
      </c>
      <c r="N1485" s="7">
        <f t="shared" si="94"/>
        <v>0.5</v>
      </c>
      <c r="O1485" s="7">
        <f t="shared" si="95"/>
        <v>-0.69314718055994529</v>
      </c>
    </row>
    <row r="1486" spans="12:15" x14ac:dyDescent="0.15">
      <c r="L1486" s="7">
        <f t="shared" si="92"/>
        <v>0</v>
      </c>
      <c r="M1486" s="7">
        <f t="shared" si="93"/>
        <v>1</v>
      </c>
      <c r="N1486" s="7">
        <f t="shared" si="94"/>
        <v>0.5</v>
      </c>
      <c r="O1486" s="7">
        <f t="shared" si="95"/>
        <v>-0.69314718055994529</v>
      </c>
    </row>
    <row r="1487" spans="12:15" x14ac:dyDescent="0.15">
      <c r="L1487" s="7">
        <f t="shared" si="92"/>
        <v>0</v>
      </c>
      <c r="M1487" s="7">
        <f t="shared" si="93"/>
        <v>1</v>
      </c>
      <c r="N1487" s="7">
        <f t="shared" si="94"/>
        <v>0.5</v>
      </c>
      <c r="O1487" s="7">
        <f t="shared" si="95"/>
        <v>-0.69314718055994529</v>
      </c>
    </row>
    <row r="1488" spans="12:15" x14ac:dyDescent="0.15">
      <c r="L1488" s="7">
        <f t="shared" si="92"/>
        <v>0</v>
      </c>
      <c r="M1488" s="7">
        <f t="shared" si="93"/>
        <v>1</v>
      </c>
      <c r="N1488" s="7">
        <f t="shared" si="94"/>
        <v>0.5</v>
      </c>
      <c r="O1488" s="7">
        <f t="shared" si="95"/>
        <v>-0.69314718055994529</v>
      </c>
    </row>
    <row r="1489" spans="12:15" x14ac:dyDescent="0.15">
      <c r="L1489" s="7">
        <f t="shared" si="92"/>
        <v>0</v>
      </c>
      <c r="M1489" s="7">
        <f t="shared" si="93"/>
        <v>1</v>
      </c>
      <c r="N1489" s="7">
        <f t="shared" si="94"/>
        <v>0.5</v>
      </c>
      <c r="O1489" s="7">
        <f t="shared" si="95"/>
        <v>-0.69314718055994529</v>
      </c>
    </row>
    <row r="1490" spans="12:15" x14ac:dyDescent="0.15">
      <c r="L1490" s="7">
        <f t="shared" si="92"/>
        <v>0</v>
      </c>
      <c r="M1490" s="7">
        <f t="shared" si="93"/>
        <v>1</v>
      </c>
      <c r="N1490" s="7">
        <f t="shared" si="94"/>
        <v>0.5</v>
      </c>
      <c r="O1490" s="7">
        <f t="shared" si="95"/>
        <v>-0.69314718055994529</v>
      </c>
    </row>
    <row r="1491" spans="12:15" x14ac:dyDescent="0.15">
      <c r="L1491" s="7">
        <f t="shared" si="92"/>
        <v>0</v>
      </c>
      <c r="M1491" s="7">
        <f t="shared" si="93"/>
        <v>1</v>
      </c>
      <c r="N1491" s="7">
        <f t="shared" si="94"/>
        <v>0.5</v>
      </c>
      <c r="O1491" s="7">
        <f t="shared" si="95"/>
        <v>-0.69314718055994529</v>
      </c>
    </row>
    <row r="1492" spans="12:15" x14ac:dyDescent="0.15">
      <c r="L1492" s="7">
        <f t="shared" si="92"/>
        <v>0</v>
      </c>
      <c r="M1492" s="7">
        <f t="shared" si="93"/>
        <v>1</v>
      </c>
      <c r="N1492" s="7">
        <f t="shared" si="94"/>
        <v>0.5</v>
      </c>
      <c r="O1492" s="7">
        <f t="shared" si="95"/>
        <v>-0.69314718055994529</v>
      </c>
    </row>
    <row r="1493" spans="12:15" x14ac:dyDescent="0.15">
      <c r="L1493" s="7">
        <f t="shared" si="92"/>
        <v>0</v>
      </c>
      <c r="M1493" s="7">
        <f t="shared" si="93"/>
        <v>1</v>
      </c>
      <c r="N1493" s="7">
        <f t="shared" si="94"/>
        <v>0.5</v>
      </c>
      <c r="O1493" s="7">
        <f t="shared" si="95"/>
        <v>-0.69314718055994529</v>
      </c>
    </row>
    <row r="1494" spans="12:15" x14ac:dyDescent="0.15">
      <c r="L1494" s="7">
        <f t="shared" si="92"/>
        <v>0</v>
      </c>
      <c r="M1494" s="7">
        <f t="shared" si="93"/>
        <v>1</v>
      </c>
      <c r="N1494" s="7">
        <f t="shared" si="94"/>
        <v>0.5</v>
      </c>
      <c r="O1494" s="7">
        <f t="shared" si="95"/>
        <v>-0.69314718055994529</v>
      </c>
    </row>
    <row r="1495" spans="12:15" x14ac:dyDescent="0.15">
      <c r="L1495" s="7">
        <f t="shared" si="92"/>
        <v>0</v>
      </c>
      <c r="M1495" s="7">
        <f t="shared" si="93"/>
        <v>1</v>
      </c>
      <c r="N1495" s="7">
        <f t="shared" si="94"/>
        <v>0.5</v>
      </c>
      <c r="O1495" s="7">
        <f t="shared" si="95"/>
        <v>-0.69314718055994529</v>
      </c>
    </row>
    <row r="1496" spans="12:15" x14ac:dyDescent="0.15">
      <c r="L1496" s="7">
        <f t="shared" si="92"/>
        <v>0</v>
      </c>
      <c r="M1496" s="7">
        <f t="shared" si="93"/>
        <v>1</v>
      </c>
      <c r="N1496" s="7">
        <f t="shared" si="94"/>
        <v>0.5</v>
      </c>
      <c r="O1496" s="7">
        <f t="shared" si="95"/>
        <v>-0.69314718055994529</v>
      </c>
    </row>
    <row r="1497" spans="12:15" x14ac:dyDescent="0.15">
      <c r="L1497" s="7">
        <f t="shared" si="92"/>
        <v>0</v>
      </c>
      <c r="M1497" s="7">
        <f t="shared" si="93"/>
        <v>1</v>
      </c>
      <c r="N1497" s="7">
        <f t="shared" si="94"/>
        <v>0.5</v>
      </c>
      <c r="O1497" s="7">
        <f t="shared" si="95"/>
        <v>-0.69314718055994529</v>
      </c>
    </row>
    <row r="1498" spans="12:15" x14ac:dyDescent="0.15">
      <c r="L1498" s="7">
        <f t="shared" si="92"/>
        <v>0</v>
      </c>
      <c r="M1498" s="7">
        <f t="shared" si="93"/>
        <v>1</v>
      </c>
      <c r="N1498" s="7">
        <f t="shared" si="94"/>
        <v>0.5</v>
      </c>
      <c r="O1498" s="7">
        <f t="shared" si="95"/>
        <v>-0.69314718055994529</v>
      </c>
    </row>
    <row r="1499" spans="12:15" x14ac:dyDescent="0.15">
      <c r="L1499" s="7">
        <f t="shared" si="92"/>
        <v>0</v>
      </c>
      <c r="M1499" s="7">
        <f t="shared" si="93"/>
        <v>1</v>
      </c>
      <c r="N1499" s="7">
        <f t="shared" si="94"/>
        <v>0.5</v>
      </c>
      <c r="O1499" s="7">
        <f t="shared" si="95"/>
        <v>-0.69314718055994529</v>
      </c>
    </row>
    <row r="1500" spans="12:15" x14ac:dyDescent="0.15">
      <c r="L1500" s="7">
        <f t="shared" si="92"/>
        <v>0</v>
      </c>
      <c r="M1500" s="7">
        <f t="shared" si="93"/>
        <v>1</v>
      </c>
      <c r="N1500" s="7">
        <f t="shared" si="94"/>
        <v>0.5</v>
      </c>
      <c r="O1500" s="7">
        <f t="shared" si="95"/>
        <v>-0.69314718055994529</v>
      </c>
    </row>
    <row r="1501" spans="12:15" x14ac:dyDescent="0.15">
      <c r="L1501" s="7">
        <f t="shared" si="92"/>
        <v>0</v>
      </c>
      <c r="M1501" s="7">
        <f t="shared" si="93"/>
        <v>1</v>
      </c>
      <c r="N1501" s="7">
        <f t="shared" si="94"/>
        <v>0.5</v>
      </c>
      <c r="O1501" s="7">
        <f t="shared" si="95"/>
        <v>-0.69314718055994529</v>
      </c>
    </row>
    <row r="1502" spans="12:15" x14ac:dyDescent="0.15">
      <c r="L1502" s="7">
        <f t="shared" si="92"/>
        <v>0</v>
      </c>
      <c r="M1502" s="7">
        <f t="shared" si="93"/>
        <v>1</v>
      </c>
      <c r="N1502" s="7">
        <f t="shared" si="94"/>
        <v>0.5</v>
      </c>
      <c r="O1502" s="7">
        <f t="shared" si="95"/>
        <v>-0.69314718055994529</v>
      </c>
    </row>
    <row r="1503" spans="12:15" x14ac:dyDescent="0.15">
      <c r="L1503" s="7">
        <f t="shared" si="92"/>
        <v>0</v>
      </c>
      <c r="M1503" s="7">
        <f t="shared" si="93"/>
        <v>1</v>
      </c>
      <c r="N1503" s="7">
        <f t="shared" si="94"/>
        <v>0.5</v>
      </c>
      <c r="O1503" s="7">
        <f t="shared" si="95"/>
        <v>-0.69314718055994529</v>
      </c>
    </row>
    <row r="1504" spans="12:15" x14ac:dyDescent="0.15">
      <c r="L1504" s="7">
        <f t="shared" si="92"/>
        <v>0</v>
      </c>
      <c r="M1504" s="7">
        <f t="shared" si="93"/>
        <v>1</v>
      </c>
      <c r="N1504" s="7">
        <f t="shared" si="94"/>
        <v>0.5</v>
      </c>
      <c r="O1504" s="7">
        <f t="shared" si="95"/>
        <v>-0.69314718055994529</v>
      </c>
    </row>
    <row r="1505" spans="12:15" x14ac:dyDescent="0.15">
      <c r="L1505" s="7">
        <f t="shared" si="92"/>
        <v>0</v>
      </c>
      <c r="M1505" s="7">
        <f t="shared" si="93"/>
        <v>1</v>
      </c>
      <c r="N1505" s="7">
        <f t="shared" si="94"/>
        <v>0.5</v>
      </c>
      <c r="O1505" s="7">
        <f t="shared" si="95"/>
        <v>-0.69314718055994529</v>
      </c>
    </row>
    <row r="1506" spans="12:15" x14ac:dyDescent="0.15">
      <c r="L1506" s="7">
        <f t="shared" si="92"/>
        <v>0</v>
      </c>
      <c r="M1506" s="7">
        <f t="shared" si="93"/>
        <v>1</v>
      </c>
      <c r="N1506" s="7">
        <f t="shared" si="94"/>
        <v>0.5</v>
      </c>
      <c r="O1506" s="7">
        <f t="shared" si="95"/>
        <v>-0.69314718055994529</v>
      </c>
    </row>
    <row r="1507" spans="12:15" x14ac:dyDescent="0.15">
      <c r="L1507" s="7">
        <f t="shared" si="92"/>
        <v>0</v>
      </c>
      <c r="M1507" s="7">
        <f t="shared" si="93"/>
        <v>1</v>
      </c>
      <c r="N1507" s="7">
        <f t="shared" si="94"/>
        <v>0.5</v>
      </c>
      <c r="O1507" s="7">
        <f t="shared" si="95"/>
        <v>-0.69314718055994529</v>
      </c>
    </row>
    <row r="1508" spans="12:15" x14ac:dyDescent="0.15">
      <c r="L1508" s="7">
        <f t="shared" si="92"/>
        <v>0</v>
      </c>
      <c r="M1508" s="7">
        <f t="shared" si="93"/>
        <v>1</v>
      </c>
      <c r="N1508" s="7">
        <f t="shared" si="94"/>
        <v>0.5</v>
      </c>
      <c r="O1508" s="7">
        <f t="shared" si="95"/>
        <v>-0.69314718055994529</v>
      </c>
    </row>
    <row r="1509" spans="12:15" x14ac:dyDescent="0.15">
      <c r="L1509" s="7">
        <f t="shared" si="92"/>
        <v>0</v>
      </c>
      <c r="M1509" s="7">
        <f t="shared" si="93"/>
        <v>1</v>
      </c>
      <c r="N1509" s="7">
        <f t="shared" si="94"/>
        <v>0.5</v>
      </c>
      <c r="O1509" s="7">
        <f t="shared" si="95"/>
        <v>-0.69314718055994529</v>
      </c>
    </row>
    <row r="1510" spans="12:15" x14ac:dyDescent="0.15">
      <c r="L1510" s="7">
        <f t="shared" si="92"/>
        <v>0</v>
      </c>
      <c r="M1510" s="7">
        <f t="shared" si="93"/>
        <v>1</v>
      </c>
      <c r="N1510" s="7">
        <f t="shared" si="94"/>
        <v>0.5</v>
      </c>
      <c r="O1510" s="7">
        <f t="shared" si="95"/>
        <v>-0.69314718055994529</v>
      </c>
    </row>
    <row r="1511" spans="12:15" x14ac:dyDescent="0.15">
      <c r="L1511" s="7">
        <f t="shared" si="92"/>
        <v>0</v>
      </c>
      <c r="M1511" s="7">
        <f t="shared" si="93"/>
        <v>1</v>
      </c>
      <c r="N1511" s="7">
        <f t="shared" si="94"/>
        <v>0.5</v>
      </c>
      <c r="O1511" s="7">
        <f t="shared" si="95"/>
        <v>-0.69314718055994529</v>
      </c>
    </row>
    <row r="1512" spans="12:15" x14ac:dyDescent="0.15">
      <c r="L1512" s="7">
        <f t="shared" si="92"/>
        <v>0</v>
      </c>
      <c r="M1512" s="7">
        <f t="shared" si="93"/>
        <v>1</v>
      </c>
      <c r="N1512" s="7">
        <f t="shared" si="94"/>
        <v>0.5</v>
      </c>
      <c r="O1512" s="7">
        <f t="shared" si="95"/>
        <v>-0.69314718055994529</v>
      </c>
    </row>
    <row r="1513" spans="12:15" x14ac:dyDescent="0.15">
      <c r="L1513" s="7">
        <f t="shared" si="92"/>
        <v>0</v>
      </c>
      <c r="M1513" s="7">
        <f t="shared" si="93"/>
        <v>1</v>
      </c>
      <c r="N1513" s="7">
        <f t="shared" si="94"/>
        <v>0.5</v>
      </c>
      <c r="O1513" s="7">
        <f t="shared" si="95"/>
        <v>-0.69314718055994529</v>
      </c>
    </row>
    <row r="1514" spans="12:15" x14ac:dyDescent="0.15">
      <c r="L1514" s="7">
        <f t="shared" si="92"/>
        <v>0</v>
      </c>
      <c r="M1514" s="7">
        <f t="shared" si="93"/>
        <v>1</v>
      </c>
      <c r="N1514" s="7">
        <f t="shared" si="94"/>
        <v>0.5</v>
      </c>
      <c r="O1514" s="7">
        <f t="shared" si="95"/>
        <v>-0.69314718055994529</v>
      </c>
    </row>
    <row r="1515" spans="12:15" x14ac:dyDescent="0.15">
      <c r="L1515" s="7">
        <f t="shared" si="92"/>
        <v>0</v>
      </c>
      <c r="M1515" s="7">
        <f t="shared" si="93"/>
        <v>1</v>
      </c>
      <c r="N1515" s="7">
        <f t="shared" si="94"/>
        <v>0.5</v>
      </c>
      <c r="O1515" s="7">
        <f t="shared" si="95"/>
        <v>-0.69314718055994529</v>
      </c>
    </row>
    <row r="1516" spans="12:15" x14ac:dyDescent="0.15">
      <c r="L1516" s="7">
        <f t="shared" si="92"/>
        <v>0</v>
      </c>
      <c r="M1516" s="7">
        <f t="shared" si="93"/>
        <v>1</v>
      </c>
      <c r="N1516" s="7">
        <f t="shared" si="94"/>
        <v>0.5</v>
      </c>
      <c r="O1516" s="7">
        <f t="shared" si="95"/>
        <v>-0.69314718055994529</v>
      </c>
    </row>
    <row r="1517" spans="12:15" x14ac:dyDescent="0.15">
      <c r="L1517" s="7">
        <f t="shared" si="92"/>
        <v>0</v>
      </c>
      <c r="M1517" s="7">
        <f t="shared" si="93"/>
        <v>1</v>
      </c>
      <c r="N1517" s="7">
        <f t="shared" si="94"/>
        <v>0.5</v>
      </c>
      <c r="O1517" s="7">
        <f t="shared" si="95"/>
        <v>-0.69314718055994529</v>
      </c>
    </row>
    <row r="1518" spans="12:15" x14ac:dyDescent="0.15">
      <c r="L1518" s="7">
        <f t="shared" si="92"/>
        <v>0</v>
      </c>
      <c r="M1518" s="7">
        <f t="shared" si="93"/>
        <v>1</v>
      </c>
      <c r="N1518" s="7">
        <f t="shared" si="94"/>
        <v>0.5</v>
      </c>
      <c r="O1518" s="7">
        <f t="shared" si="95"/>
        <v>-0.69314718055994529</v>
      </c>
    </row>
    <row r="1519" spans="12:15" x14ac:dyDescent="0.15">
      <c r="L1519" s="7">
        <f t="shared" si="92"/>
        <v>0</v>
      </c>
      <c r="M1519" s="7">
        <f t="shared" si="93"/>
        <v>1</v>
      </c>
      <c r="N1519" s="7">
        <f t="shared" si="94"/>
        <v>0.5</v>
      </c>
      <c r="O1519" s="7">
        <f t="shared" si="95"/>
        <v>-0.69314718055994529</v>
      </c>
    </row>
    <row r="1520" spans="12:15" x14ac:dyDescent="0.15">
      <c r="L1520" s="7">
        <f t="shared" si="92"/>
        <v>0</v>
      </c>
      <c r="M1520" s="7">
        <f t="shared" si="93"/>
        <v>1</v>
      </c>
      <c r="N1520" s="7">
        <f t="shared" si="94"/>
        <v>0.5</v>
      </c>
      <c r="O1520" s="7">
        <f t="shared" si="95"/>
        <v>-0.69314718055994529</v>
      </c>
    </row>
    <row r="1521" spans="12:15" x14ac:dyDescent="0.15">
      <c r="L1521" s="7">
        <f t="shared" si="92"/>
        <v>0</v>
      </c>
      <c r="M1521" s="7">
        <f t="shared" si="93"/>
        <v>1</v>
      </c>
      <c r="N1521" s="7">
        <f t="shared" si="94"/>
        <v>0.5</v>
      </c>
      <c r="O1521" s="7">
        <f t="shared" si="95"/>
        <v>-0.69314718055994529</v>
      </c>
    </row>
    <row r="1522" spans="12:15" x14ac:dyDescent="0.15">
      <c r="L1522" s="7">
        <f t="shared" si="92"/>
        <v>0</v>
      </c>
      <c r="M1522" s="7">
        <f t="shared" si="93"/>
        <v>1</v>
      </c>
      <c r="N1522" s="7">
        <f t="shared" si="94"/>
        <v>0.5</v>
      </c>
      <c r="O1522" s="7">
        <f t="shared" si="95"/>
        <v>-0.69314718055994529</v>
      </c>
    </row>
    <row r="1523" spans="12:15" x14ac:dyDescent="0.15">
      <c r="L1523" s="7">
        <f t="shared" si="92"/>
        <v>0</v>
      </c>
      <c r="M1523" s="7">
        <f t="shared" si="93"/>
        <v>1</v>
      </c>
      <c r="N1523" s="7">
        <f t="shared" si="94"/>
        <v>0.5</v>
      </c>
      <c r="O1523" s="7">
        <f t="shared" si="95"/>
        <v>-0.69314718055994529</v>
      </c>
    </row>
    <row r="1524" spans="12:15" x14ac:dyDescent="0.15">
      <c r="L1524" s="7">
        <f t="shared" si="92"/>
        <v>0</v>
      </c>
      <c r="M1524" s="7">
        <f t="shared" si="93"/>
        <v>1</v>
      </c>
      <c r="N1524" s="7">
        <f t="shared" si="94"/>
        <v>0.5</v>
      </c>
      <c r="O1524" s="7">
        <f t="shared" si="95"/>
        <v>-0.69314718055994529</v>
      </c>
    </row>
    <row r="1525" spans="12:15" x14ac:dyDescent="0.15">
      <c r="L1525" s="7">
        <f t="shared" si="92"/>
        <v>0</v>
      </c>
      <c r="M1525" s="7">
        <f t="shared" si="93"/>
        <v>1</v>
      </c>
      <c r="N1525" s="7">
        <f t="shared" si="94"/>
        <v>0.5</v>
      </c>
      <c r="O1525" s="7">
        <f t="shared" si="95"/>
        <v>-0.69314718055994529</v>
      </c>
    </row>
    <row r="1526" spans="12:15" x14ac:dyDescent="0.15">
      <c r="L1526" s="7">
        <f t="shared" si="92"/>
        <v>0</v>
      </c>
      <c r="M1526" s="7">
        <f t="shared" si="93"/>
        <v>1</v>
      </c>
      <c r="N1526" s="7">
        <f t="shared" si="94"/>
        <v>0.5</v>
      </c>
      <c r="O1526" s="7">
        <f t="shared" si="95"/>
        <v>-0.69314718055994529</v>
      </c>
    </row>
    <row r="1527" spans="12:15" x14ac:dyDescent="0.15">
      <c r="L1527" s="7">
        <f t="shared" si="92"/>
        <v>0</v>
      </c>
      <c r="M1527" s="7">
        <f t="shared" si="93"/>
        <v>1</v>
      </c>
      <c r="N1527" s="7">
        <f t="shared" si="94"/>
        <v>0.5</v>
      </c>
      <c r="O1527" s="7">
        <f t="shared" si="95"/>
        <v>-0.69314718055994529</v>
      </c>
    </row>
    <row r="1528" spans="12:15" x14ac:dyDescent="0.15">
      <c r="L1528" s="7">
        <f t="shared" si="92"/>
        <v>0</v>
      </c>
      <c r="M1528" s="7">
        <f t="shared" si="93"/>
        <v>1</v>
      </c>
      <c r="N1528" s="7">
        <f t="shared" si="94"/>
        <v>0.5</v>
      </c>
      <c r="O1528" s="7">
        <f t="shared" si="95"/>
        <v>-0.69314718055994529</v>
      </c>
    </row>
    <row r="1529" spans="12:15" x14ac:dyDescent="0.15">
      <c r="L1529" s="7">
        <f t="shared" si="92"/>
        <v>0</v>
      </c>
      <c r="M1529" s="7">
        <f t="shared" si="93"/>
        <v>1</v>
      </c>
      <c r="N1529" s="7">
        <f t="shared" si="94"/>
        <v>0.5</v>
      </c>
      <c r="O1529" s="7">
        <f t="shared" si="95"/>
        <v>-0.69314718055994529</v>
      </c>
    </row>
    <row r="1530" spans="12:15" x14ac:dyDescent="0.15">
      <c r="L1530" s="7">
        <f t="shared" si="92"/>
        <v>0</v>
      </c>
      <c r="M1530" s="7">
        <f t="shared" si="93"/>
        <v>1</v>
      </c>
      <c r="N1530" s="7">
        <f t="shared" si="94"/>
        <v>0.5</v>
      </c>
      <c r="O1530" s="7">
        <f t="shared" si="95"/>
        <v>-0.69314718055994529</v>
      </c>
    </row>
    <row r="1531" spans="12:15" x14ac:dyDescent="0.15">
      <c r="L1531" s="7">
        <f t="shared" si="92"/>
        <v>0</v>
      </c>
      <c r="M1531" s="7">
        <f t="shared" si="93"/>
        <v>1</v>
      </c>
      <c r="N1531" s="7">
        <f t="shared" si="94"/>
        <v>0.5</v>
      </c>
      <c r="O1531" s="7">
        <f t="shared" si="95"/>
        <v>-0.69314718055994529</v>
      </c>
    </row>
    <row r="1532" spans="12:15" x14ac:dyDescent="0.15">
      <c r="L1532" s="7">
        <f t="shared" si="92"/>
        <v>0</v>
      </c>
      <c r="M1532" s="7">
        <f t="shared" si="93"/>
        <v>1</v>
      </c>
      <c r="N1532" s="7">
        <f t="shared" si="94"/>
        <v>0.5</v>
      </c>
      <c r="O1532" s="7">
        <f t="shared" si="95"/>
        <v>-0.69314718055994529</v>
      </c>
    </row>
    <row r="1533" spans="12:15" x14ac:dyDescent="0.15">
      <c r="L1533" s="7">
        <f t="shared" si="92"/>
        <v>0</v>
      </c>
      <c r="M1533" s="7">
        <f t="shared" si="93"/>
        <v>1</v>
      </c>
      <c r="N1533" s="7">
        <f t="shared" si="94"/>
        <v>0.5</v>
      </c>
      <c r="O1533" s="7">
        <f t="shared" si="95"/>
        <v>-0.69314718055994529</v>
      </c>
    </row>
    <row r="1534" spans="12:15" x14ac:dyDescent="0.15">
      <c r="L1534" s="7">
        <f t="shared" si="92"/>
        <v>0</v>
      </c>
      <c r="M1534" s="7">
        <f t="shared" si="93"/>
        <v>1</v>
      </c>
      <c r="N1534" s="7">
        <f t="shared" si="94"/>
        <v>0.5</v>
      </c>
      <c r="O1534" s="7">
        <f t="shared" si="95"/>
        <v>-0.69314718055994529</v>
      </c>
    </row>
    <row r="1535" spans="12:15" x14ac:dyDescent="0.15">
      <c r="L1535" s="7">
        <f t="shared" si="92"/>
        <v>0</v>
      </c>
      <c r="M1535" s="7">
        <f t="shared" si="93"/>
        <v>1</v>
      </c>
      <c r="N1535" s="7">
        <f t="shared" si="94"/>
        <v>0.5</v>
      </c>
      <c r="O1535" s="7">
        <f t="shared" si="95"/>
        <v>-0.69314718055994529</v>
      </c>
    </row>
    <row r="1536" spans="12:15" x14ac:dyDescent="0.15">
      <c r="L1536" s="7">
        <f t="shared" si="92"/>
        <v>0</v>
      </c>
      <c r="M1536" s="7">
        <f t="shared" si="93"/>
        <v>1</v>
      </c>
      <c r="N1536" s="7">
        <f t="shared" si="94"/>
        <v>0.5</v>
      </c>
      <c r="O1536" s="7">
        <f t="shared" si="95"/>
        <v>-0.69314718055994529</v>
      </c>
    </row>
    <row r="1537" spans="12:15" x14ac:dyDescent="0.15">
      <c r="L1537" s="7">
        <f t="shared" si="92"/>
        <v>0</v>
      </c>
      <c r="M1537" s="7">
        <f t="shared" si="93"/>
        <v>1</v>
      </c>
      <c r="N1537" s="7">
        <f t="shared" si="94"/>
        <v>0.5</v>
      </c>
      <c r="O1537" s="7">
        <f t="shared" si="95"/>
        <v>-0.69314718055994529</v>
      </c>
    </row>
    <row r="1538" spans="12:15" x14ac:dyDescent="0.15">
      <c r="L1538" s="7">
        <f t="shared" si="92"/>
        <v>0</v>
      </c>
      <c r="M1538" s="7">
        <f t="shared" si="93"/>
        <v>1</v>
      </c>
      <c r="N1538" s="7">
        <f t="shared" si="94"/>
        <v>0.5</v>
      </c>
      <c r="O1538" s="7">
        <f t="shared" si="95"/>
        <v>-0.69314718055994529</v>
      </c>
    </row>
    <row r="1539" spans="12:15" x14ac:dyDescent="0.15">
      <c r="L1539" s="7">
        <f t="shared" ref="L1539:L1550" si="96">$Q$1 + $Q$2*B1539+$Q$3*C1539+ $Q$4*D1539+$Q$5*E1539+$Q$6*F1539+$Q$7*G1539+H1539*$Q$8+I1539*$Q$9+J1539*$Q$10+K1539*$Q$11</f>
        <v>0</v>
      </c>
      <c r="M1539" s="7">
        <f t="shared" ref="M1539:M1550" si="97">EXP(L1539)</f>
        <v>1</v>
      </c>
      <c r="N1539" s="7">
        <f t="shared" ref="N1539:N1550" si="98">1/(1+M1539)</f>
        <v>0.5</v>
      </c>
      <c r="O1539" s="7">
        <f t="shared" ref="O1539:O1550" si="99">A1539*LN(N1539)+(1-A1539)*LN(1-N1539)</f>
        <v>-0.69314718055994529</v>
      </c>
    </row>
    <row r="1540" spans="12:15" x14ac:dyDescent="0.15">
      <c r="L1540" s="7">
        <f t="shared" si="96"/>
        <v>0</v>
      </c>
      <c r="M1540" s="7">
        <f t="shared" si="97"/>
        <v>1</v>
      </c>
      <c r="N1540" s="7">
        <f t="shared" si="98"/>
        <v>0.5</v>
      </c>
      <c r="O1540" s="7">
        <f t="shared" si="99"/>
        <v>-0.69314718055994529</v>
      </c>
    </row>
    <row r="1541" spans="12:15" x14ac:dyDescent="0.15">
      <c r="L1541" s="7">
        <f t="shared" si="96"/>
        <v>0</v>
      </c>
      <c r="M1541" s="7">
        <f t="shared" si="97"/>
        <v>1</v>
      </c>
      <c r="N1541" s="7">
        <f t="shared" si="98"/>
        <v>0.5</v>
      </c>
      <c r="O1541" s="7">
        <f t="shared" si="99"/>
        <v>-0.69314718055994529</v>
      </c>
    </row>
    <row r="1542" spans="12:15" x14ac:dyDescent="0.15">
      <c r="L1542" s="7">
        <f t="shared" si="96"/>
        <v>0</v>
      </c>
      <c r="M1542" s="7">
        <f t="shared" si="97"/>
        <v>1</v>
      </c>
      <c r="N1542" s="7">
        <f t="shared" si="98"/>
        <v>0.5</v>
      </c>
      <c r="O1542" s="7">
        <f t="shared" si="99"/>
        <v>-0.69314718055994529</v>
      </c>
    </row>
    <row r="1543" spans="12:15" x14ac:dyDescent="0.15">
      <c r="L1543" s="7">
        <f t="shared" si="96"/>
        <v>0</v>
      </c>
      <c r="M1543" s="7">
        <f t="shared" si="97"/>
        <v>1</v>
      </c>
      <c r="N1543" s="7">
        <f t="shared" si="98"/>
        <v>0.5</v>
      </c>
      <c r="O1543" s="7">
        <f t="shared" si="99"/>
        <v>-0.69314718055994529</v>
      </c>
    </row>
    <row r="1544" spans="12:15" x14ac:dyDescent="0.15">
      <c r="L1544" s="7">
        <f t="shared" si="96"/>
        <v>0</v>
      </c>
      <c r="M1544" s="7">
        <f t="shared" si="97"/>
        <v>1</v>
      </c>
      <c r="N1544" s="7">
        <f t="shared" si="98"/>
        <v>0.5</v>
      </c>
      <c r="O1544" s="7">
        <f t="shared" si="99"/>
        <v>-0.69314718055994529</v>
      </c>
    </row>
    <row r="1545" spans="12:15" x14ac:dyDescent="0.15">
      <c r="L1545" s="7">
        <f t="shared" si="96"/>
        <v>0</v>
      </c>
      <c r="M1545" s="7">
        <f t="shared" si="97"/>
        <v>1</v>
      </c>
      <c r="N1545" s="7">
        <f t="shared" si="98"/>
        <v>0.5</v>
      </c>
      <c r="O1545" s="7">
        <f t="shared" si="99"/>
        <v>-0.69314718055994529</v>
      </c>
    </row>
    <row r="1546" spans="12:15" x14ac:dyDescent="0.15">
      <c r="L1546" s="7">
        <f t="shared" si="96"/>
        <v>0</v>
      </c>
      <c r="M1546" s="7">
        <f t="shared" si="97"/>
        <v>1</v>
      </c>
      <c r="N1546" s="7">
        <f t="shared" si="98"/>
        <v>0.5</v>
      </c>
      <c r="O1546" s="7">
        <f t="shared" si="99"/>
        <v>-0.69314718055994529</v>
      </c>
    </row>
    <row r="1547" spans="12:15" x14ac:dyDescent="0.15">
      <c r="L1547" s="7">
        <f t="shared" si="96"/>
        <v>0</v>
      </c>
      <c r="M1547" s="7">
        <f t="shared" si="97"/>
        <v>1</v>
      </c>
      <c r="N1547" s="7">
        <f t="shared" si="98"/>
        <v>0.5</v>
      </c>
      <c r="O1547" s="7">
        <f t="shared" si="99"/>
        <v>-0.69314718055994529</v>
      </c>
    </row>
    <row r="1548" spans="12:15" x14ac:dyDescent="0.15">
      <c r="L1548" s="7">
        <f t="shared" si="96"/>
        <v>0</v>
      </c>
      <c r="M1548" s="7">
        <f t="shared" si="97"/>
        <v>1</v>
      </c>
      <c r="N1548" s="7">
        <f t="shared" si="98"/>
        <v>0.5</v>
      </c>
      <c r="O1548" s="7">
        <f t="shared" si="99"/>
        <v>-0.69314718055994529</v>
      </c>
    </row>
    <row r="1549" spans="12:15" x14ac:dyDescent="0.15">
      <c r="L1549" s="7">
        <f t="shared" si="96"/>
        <v>0</v>
      </c>
      <c r="M1549" s="7">
        <f t="shared" si="97"/>
        <v>1</v>
      </c>
      <c r="N1549" s="7">
        <f t="shared" si="98"/>
        <v>0.5</v>
      </c>
      <c r="O1549" s="7">
        <f t="shared" si="99"/>
        <v>-0.69314718055994529</v>
      </c>
    </row>
    <row r="1550" spans="12:15" x14ac:dyDescent="0.15">
      <c r="L1550" s="7">
        <f t="shared" si="96"/>
        <v>0</v>
      </c>
      <c r="M1550" s="7">
        <f t="shared" si="97"/>
        <v>1</v>
      </c>
      <c r="N1550" s="7">
        <f t="shared" si="98"/>
        <v>0.5</v>
      </c>
      <c r="O1550" s="7">
        <f t="shared" si="99"/>
        <v>-0.69314718055994529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workbookViewId="0">
      <selection activeCell="H3" sqref="H3"/>
    </sheetView>
  </sheetViews>
  <sheetFormatPr defaultRowHeight="13.5" x14ac:dyDescent="0.15"/>
  <cols>
    <col min="1" max="1" width="18.625" customWidth="1"/>
    <col min="6" max="6" width="12.75" customWidth="1"/>
    <col min="7" max="7" width="21.75" customWidth="1"/>
    <col min="8" max="8" width="15.125" customWidth="1"/>
  </cols>
  <sheetData>
    <row r="1" spans="1:8" x14ac:dyDescent="0.15">
      <c r="A1" t="s">
        <v>3</v>
      </c>
      <c r="B1" t="s">
        <v>4</v>
      </c>
      <c r="C1" t="s">
        <v>5</v>
      </c>
      <c r="D1" t="s">
        <v>6</v>
      </c>
      <c r="E1" t="s">
        <v>16</v>
      </c>
      <c r="F1" t="s">
        <v>12</v>
      </c>
      <c r="G1" s="2" t="s">
        <v>14</v>
      </c>
      <c r="H1" t="s">
        <v>15</v>
      </c>
    </row>
    <row r="2" spans="1:8" x14ac:dyDescent="0.15">
      <c r="A2">
        <v>0</v>
      </c>
      <c r="B2">
        <v>380</v>
      </c>
      <c r="C2">
        <v>3.61</v>
      </c>
      <c r="D2">
        <v>3</v>
      </c>
      <c r="E2">
        <f>$B$16+B2*$B$17+C2*$B$18+D2*$B$19</f>
        <v>0.16622107550590542</v>
      </c>
      <c r="F2">
        <f>EXP(E2)</f>
        <v>1.1808341263710127</v>
      </c>
      <c r="G2">
        <f>F2/(1+F2)</f>
        <v>0.54145985340754166</v>
      </c>
      <c r="H2">
        <f>A2*LN(G2)+(1-A2)*LN(1-G2)</f>
        <v>-0.77970743039373402</v>
      </c>
    </row>
    <row r="3" spans="1:8" x14ac:dyDescent="0.15">
      <c r="A3">
        <v>1</v>
      </c>
      <c r="B3">
        <v>660</v>
      </c>
      <c r="C3">
        <v>3.67</v>
      </c>
      <c r="D3">
        <v>3</v>
      </c>
      <c r="E3">
        <f t="shared" ref="E3:E14" si="0">$B$16+B3*$B$17+C3*$B$18+D3*$B$19</f>
        <v>0.28869976272078313</v>
      </c>
      <c r="F3">
        <f t="shared" ref="F3:F14" si="1">EXP(E3)</f>
        <v>1.3346909443886106</v>
      </c>
      <c r="G3">
        <f t="shared" ref="G3:G14" si="2">F3/(1+F3)</f>
        <v>0.57167778356125343</v>
      </c>
      <c r="H3">
        <f t="shared" ref="H3:H14" si="3">A3*LN(G3)+(1-A3)*LN(1-G3)</f>
        <v>-0.55917976177645246</v>
      </c>
    </row>
    <row r="4" spans="1:8" x14ac:dyDescent="0.15">
      <c r="A4">
        <v>1</v>
      </c>
      <c r="B4">
        <v>800</v>
      </c>
      <c r="C4">
        <v>4</v>
      </c>
      <c r="D4">
        <v>1</v>
      </c>
      <c r="E4">
        <f t="shared" si="0"/>
        <v>0.34993910632822195</v>
      </c>
      <c r="F4">
        <f t="shared" si="1"/>
        <v>1.4189811389906479</v>
      </c>
      <c r="G4">
        <f t="shared" si="2"/>
        <v>0.58660281228266897</v>
      </c>
      <c r="H4">
        <f t="shared" si="3"/>
        <v>-0.53340732824184189</v>
      </c>
    </row>
    <row r="5" spans="1:8" x14ac:dyDescent="0.15">
      <c r="A5">
        <v>1</v>
      </c>
      <c r="B5">
        <v>640</v>
      </c>
      <c r="C5">
        <v>3.19</v>
      </c>
      <c r="D5">
        <v>4</v>
      </c>
      <c r="E5">
        <f t="shared" si="0"/>
        <v>0.27995128506257755</v>
      </c>
      <c r="F5">
        <f t="shared" si="1"/>
        <v>1.3230653577213911</v>
      </c>
      <c r="G5">
        <f t="shared" si="2"/>
        <v>0.56953428078284341</v>
      </c>
      <c r="H5">
        <f t="shared" si="3"/>
        <v>-0.5629363033800151</v>
      </c>
    </row>
    <row r="6" spans="1:8" x14ac:dyDescent="0.15">
      <c r="A6">
        <v>0</v>
      </c>
      <c r="B6">
        <v>520</v>
      </c>
      <c r="C6">
        <v>2.93</v>
      </c>
      <c r="D6">
        <v>4</v>
      </c>
      <c r="E6">
        <f t="shared" si="0"/>
        <v>0.22746041911334428</v>
      </c>
      <c r="F6">
        <f t="shared" si="1"/>
        <v>1.2554077486189206</v>
      </c>
      <c r="G6">
        <f t="shared" si="2"/>
        <v>0.55662119161719592</v>
      </c>
      <c r="H6">
        <f t="shared" si="3"/>
        <v>-0.81333077639537554</v>
      </c>
    </row>
    <row r="7" spans="1:8" x14ac:dyDescent="0.15">
      <c r="A7">
        <v>1</v>
      </c>
      <c r="B7">
        <v>760</v>
      </c>
      <c r="C7">
        <v>3</v>
      </c>
      <c r="D7">
        <v>2</v>
      </c>
      <c r="E7">
        <f t="shared" si="0"/>
        <v>0.33244215101181085</v>
      </c>
      <c r="F7">
        <f t="shared" si="1"/>
        <v>1.3943692340023928</v>
      </c>
      <c r="G7">
        <f t="shared" si="2"/>
        <v>0.58235347088535105</v>
      </c>
      <c r="H7">
        <f t="shared" si="3"/>
        <v>-0.54067767731497762</v>
      </c>
    </row>
    <row r="8" spans="1:8" x14ac:dyDescent="0.15">
      <c r="A8">
        <v>1</v>
      </c>
      <c r="B8">
        <v>560</v>
      </c>
      <c r="C8">
        <v>2.98</v>
      </c>
      <c r="D8">
        <v>1</v>
      </c>
      <c r="E8">
        <f t="shared" si="0"/>
        <v>0.24495737442975535</v>
      </c>
      <c r="F8">
        <f t="shared" si="1"/>
        <v>1.2775668550285182</v>
      </c>
      <c r="G8">
        <f t="shared" si="2"/>
        <v>0.56093495223108225</v>
      </c>
      <c r="H8">
        <f t="shared" si="3"/>
        <v>-0.57815032985933945</v>
      </c>
    </row>
    <row r="9" spans="1:8" x14ac:dyDescent="0.15">
      <c r="A9">
        <v>1</v>
      </c>
      <c r="B9">
        <v>400</v>
      </c>
      <c r="C9">
        <v>3.08</v>
      </c>
      <c r="D9">
        <v>2</v>
      </c>
      <c r="E9">
        <f t="shared" si="0"/>
        <v>0.17496955316411097</v>
      </c>
      <c r="F9">
        <f t="shared" si="1"/>
        <v>1.1912099474864404</v>
      </c>
      <c r="G9">
        <f t="shared" si="2"/>
        <v>0.54363113349904679</v>
      </c>
      <c r="H9">
        <f t="shared" si="3"/>
        <v>-0.60948432553603626</v>
      </c>
    </row>
    <row r="10" spans="1:8" x14ac:dyDescent="0.15">
      <c r="A10">
        <v>0</v>
      </c>
      <c r="B10">
        <v>540</v>
      </c>
      <c r="C10">
        <v>3.39</v>
      </c>
      <c r="D10">
        <v>3</v>
      </c>
      <c r="E10">
        <f t="shared" si="0"/>
        <v>0.23620889677154983</v>
      </c>
      <c r="F10">
        <f t="shared" si="1"/>
        <v>1.2664388375209863</v>
      </c>
      <c r="G10">
        <f t="shared" si="2"/>
        <v>0.55877918104607116</v>
      </c>
      <c r="H10">
        <f t="shared" si="3"/>
        <v>-0.81820980560380707</v>
      </c>
    </row>
    <row r="11" spans="1:8" x14ac:dyDescent="0.15">
      <c r="A11">
        <v>1</v>
      </c>
      <c r="B11">
        <v>700</v>
      </c>
      <c r="C11">
        <v>3.92</v>
      </c>
      <c r="D11">
        <v>2</v>
      </c>
      <c r="E11">
        <f t="shared" si="0"/>
        <v>0.30619671803719423</v>
      </c>
      <c r="F11">
        <f t="shared" si="1"/>
        <v>1.3582494724390943</v>
      </c>
      <c r="G11">
        <f t="shared" si="2"/>
        <v>0.57595665272609253</v>
      </c>
      <c r="H11">
        <f t="shared" si="3"/>
        <v>-0.55172287680196397</v>
      </c>
    </row>
    <row r="12" spans="1:8" x14ac:dyDescent="0.15">
      <c r="A12">
        <v>0</v>
      </c>
      <c r="B12">
        <v>800</v>
      </c>
      <c r="C12">
        <v>3.7</v>
      </c>
      <c r="D12">
        <v>4</v>
      </c>
      <c r="E12">
        <f t="shared" si="0"/>
        <v>0.34993910632822195</v>
      </c>
      <c r="F12">
        <f t="shared" si="1"/>
        <v>1.4189811389906479</v>
      </c>
      <c r="G12">
        <f t="shared" si="2"/>
        <v>0.58660281228266897</v>
      </c>
      <c r="H12">
        <f t="shared" si="3"/>
        <v>-0.88334643457006357</v>
      </c>
    </row>
    <row r="13" spans="1:8" x14ac:dyDescent="0.15">
      <c r="A13">
        <v>0</v>
      </c>
      <c r="B13">
        <v>768</v>
      </c>
      <c r="C13">
        <v>3.67</v>
      </c>
      <c r="D13">
        <v>4</v>
      </c>
      <c r="E13">
        <f t="shared" si="0"/>
        <v>0.33594154207509308</v>
      </c>
      <c r="F13">
        <f t="shared" si="1"/>
        <v>1.3992572247462529</v>
      </c>
      <c r="G13">
        <f t="shared" si="2"/>
        <v>0.58320433937392402</v>
      </c>
      <c r="H13">
        <f t="shared" si="3"/>
        <v>-0.87515919976302103</v>
      </c>
    </row>
    <row r="14" spans="1:8" x14ac:dyDescent="0.15">
      <c r="A14">
        <v>0</v>
      </c>
      <c r="B14">
        <v>400</v>
      </c>
      <c r="C14">
        <v>3.25</v>
      </c>
      <c r="D14">
        <v>5</v>
      </c>
      <c r="E14">
        <f t="shared" si="0"/>
        <v>0.17496955316411097</v>
      </c>
      <c r="F14">
        <f t="shared" si="1"/>
        <v>1.1912099474864404</v>
      </c>
      <c r="G14">
        <f t="shared" si="2"/>
        <v>0.54363113349904679</v>
      </c>
      <c r="H14">
        <f t="shared" si="3"/>
        <v>-0.78445387870014727</v>
      </c>
    </row>
    <row r="15" spans="1:8" x14ac:dyDescent="0.15">
      <c r="G15" t="s">
        <v>17</v>
      </c>
      <c r="H15">
        <f>SUM(H2:H14)</f>
        <v>-8.8897661283367757</v>
      </c>
    </row>
    <row r="16" spans="1:8" x14ac:dyDescent="0.15">
      <c r="A16" t="s">
        <v>7</v>
      </c>
      <c r="B16">
        <v>0</v>
      </c>
    </row>
    <row r="17" spans="1:2" x14ac:dyDescent="0.15">
      <c r="A17" t="s">
        <v>8</v>
      </c>
      <c r="B17">
        <v>4.3742388291027743E-4</v>
      </c>
    </row>
    <row r="18" spans="1:2" x14ac:dyDescent="0.15">
      <c r="A18" t="s">
        <v>9</v>
      </c>
      <c r="B18">
        <v>0</v>
      </c>
    </row>
    <row r="19" spans="1:2" x14ac:dyDescent="0.15">
      <c r="A19" t="s">
        <v>10</v>
      </c>
      <c r="B19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8"/>
  <sheetViews>
    <sheetView workbookViewId="0">
      <selection activeCell="D19" sqref="D19"/>
    </sheetView>
  </sheetViews>
  <sheetFormatPr defaultRowHeight="13.5" x14ac:dyDescent="0.15"/>
  <cols>
    <col min="1" max="1" width="13.75" customWidth="1"/>
    <col min="2" max="2" width="15.125" customWidth="1"/>
    <col min="3" max="3" width="17.25" customWidth="1"/>
  </cols>
  <sheetData>
    <row r="1" spans="1:3" x14ac:dyDescent="0.15">
      <c r="A1" t="s">
        <v>0</v>
      </c>
      <c r="B1" t="s">
        <v>1</v>
      </c>
    </row>
    <row r="2" spans="1:3" x14ac:dyDescent="0.15">
      <c r="A2">
        <v>-8</v>
      </c>
      <c r="B2">
        <f>1/(1+EXP(-A2))</f>
        <v>3.3535013046647811E-4</v>
      </c>
      <c r="C2" s="1" t="s">
        <v>2</v>
      </c>
    </row>
    <row r="3" spans="1:3" x14ac:dyDescent="0.15">
      <c r="A3">
        <v>-7</v>
      </c>
      <c r="B3">
        <f t="shared" ref="B3:B18" si="0">1/(1+EXP(-A3))</f>
        <v>9.1105119440064539E-4</v>
      </c>
    </row>
    <row r="4" spans="1:3" x14ac:dyDescent="0.15">
      <c r="A4">
        <v>-6</v>
      </c>
      <c r="B4">
        <f t="shared" si="0"/>
        <v>2.4726231566347743E-3</v>
      </c>
    </row>
    <row r="5" spans="1:3" x14ac:dyDescent="0.15">
      <c r="A5">
        <v>-5</v>
      </c>
      <c r="B5">
        <f t="shared" si="0"/>
        <v>6.6928509242848554E-3</v>
      </c>
    </row>
    <row r="6" spans="1:3" x14ac:dyDescent="0.15">
      <c r="A6">
        <v>-4</v>
      </c>
      <c r="B6">
        <f t="shared" si="0"/>
        <v>1.7986209962091559E-2</v>
      </c>
    </row>
    <row r="7" spans="1:3" x14ac:dyDescent="0.15">
      <c r="A7">
        <v>-3</v>
      </c>
      <c r="B7">
        <f t="shared" si="0"/>
        <v>4.7425873177566781E-2</v>
      </c>
    </row>
    <row r="8" spans="1:3" x14ac:dyDescent="0.15">
      <c r="A8">
        <v>-2</v>
      </c>
      <c r="B8">
        <f t="shared" si="0"/>
        <v>0.11920292202211755</v>
      </c>
    </row>
    <row r="9" spans="1:3" x14ac:dyDescent="0.15">
      <c r="A9">
        <v>-1</v>
      </c>
      <c r="B9">
        <f t="shared" si="0"/>
        <v>0.2689414213699951</v>
      </c>
    </row>
    <row r="10" spans="1:3" x14ac:dyDescent="0.15">
      <c r="A10">
        <v>0</v>
      </c>
      <c r="B10">
        <f t="shared" si="0"/>
        <v>0.5</v>
      </c>
    </row>
    <row r="11" spans="1:3" x14ac:dyDescent="0.15">
      <c r="A11">
        <v>1</v>
      </c>
      <c r="B11">
        <f t="shared" si="0"/>
        <v>0.7310585786300049</v>
      </c>
    </row>
    <row r="12" spans="1:3" x14ac:dyDescent="0.15">
      <c r="A12">
        <v>2</v>
      </c>
      <c r="B12">
        <f t="shared" si="0"/>
        <v>0.88079707797788231</v>
      </c>
    </row>
    <row r="13" spans="1:3" x14ac:dyDescent="0.15">
      <c r="A13">
        <v>3</v>
      </c>
      <c r="B13">
        <f t="shared" si="0"/>
        <v>0.95257412682243336</v>
      </c>
    </row>
    <row r="14" spans="1:3" x14ac:dyDescent="0.15">
      <c r="A14">
        <v>4</v>
      </c>
      <c r="B14">
        <f t="shared" si="0"/>
        <v>0.98201379003790845</v>
      </c>
    </row>
    <row r="15" spans="1:3" x14ac:dyDescent="0.15">
      <c r="A15">
        <v>5</v>
      </c>
      <c r="B15">
        <f t="shared" si="0"/>
        <v>0.99330714907571527</v>
      </c>
    </row>
    <row r="16" spans="1:3" x14ac:dyDescent="0.15">
      <c r="A16">
        <v>6</v>
      </c>
      <c r="B16">
        <f t="shared" si="0"/>
        <v>0.99752737684336534</v>
      </c>
    </row>
    <row r="17" spans="1:2" x14ac:dyDescent="0.15">
      <c r="A17">
        <v>7</v>
      </c>
      <c r="B17">
        <f t="shared" si="0"/>
        <v>0.9990889488055994</v>
      </c>
    </row>
    <row r="18" spans="1:2" x14ac:dyDescent="0.15">
      <c r="A18">
        <v>8</v>
      </c>
      <c r="B18">
        <f t="shared" si="0"/>
        <v>0.99966464986953363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Demo</vt:lpstr>
      <vt:lpstr>Demo2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Hull</dc:creator>
  <cp:lastModifiedBy>朱赫</cp:lastModifiedBy>
  <dcterms:created xsi:type="dcterms:W3CDTF">2019-05-17T15:23:04Z</dcterms:created>
  <dcterms:modified xsi:type="dcterms:W3CDTF">2019-05-17T19:57:22Z</dcterms:modified>
</cp:coreProperties>
</file>